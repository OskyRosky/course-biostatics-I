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oscar.centeno\Desktop\Llave maya 1\Cursos\UCIMED Estadística\Prácticas en Excel- Word\"/>
    </mc:Choice>
  </mc:AlternateContent>
  <xr:revisionPtr revIDLastSave="0" documentId="13_ncr:1_{5FBAB865-C063-4002-882F-22FBE0275C3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unciones ABS y CUADRA" sheetId="1" r:id="rId1"/>
    <sheet name="Cálculo de DM y DE" sheetId="2" r:id="rId2"/>
    <sheet name="Cálculo de DM y DE_corrección" sheetId="5" r:id="rId3"/>
    <sheet name="MdV en excel" sheetId="3" r:id="rId4"/>
    <sheet name="Correcció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C21" i="2"/>
  <c r="E8" i="2"/>
  <c r="E9" i="2"/>
  <c r="E10" i="2"/>
  <c r="E11" i="2"/>
  <c r="E7" i="2"/>
  <c r="C18" i="2"/>
  <c r="D8" i="2"/>
  <c r="D9" i="2"/>
  <c r="D10" i="2"/>
  <c r="D11" i="2"/>
  <c r="D7" i="2"/>
  <c r="C8" i="2"/>
  <c r="C9" i="2"/>
  <c r="C10" i="2"/>
  <c r="C12" i="2" s="1"/>
  <c r="C11" i="2"/>
  <c r="C7" i="2"/>
  <c r="B12" i="5"/>
  <c r="B3" i="5"/>
  <c r="C11" i="5" s="1"/>
  <c r="B3" i="2"/>
  <c r="E12" i="2" l="1"/>
  <c r="D12" i="2"/>
  <c r="C9" i="5"/>
  <c r="D7" i="5"/>
  <c r="C10" i="5"/>
  <c r="E7" i="5"/>
  <c r="D10" i="5"/>
  <c r="E8" i="5"/>
  <c r="D11" i="5"/>
  <c r="C8" i="5"/>
  <c r="D9" i="5"/>
  <c r="E10" i="5"/>
  <c r="E11" i="5"/>
  <c r="C7" i="5"/>
  <c r="C12" i="5" s="1"/>
  <c r="D8" i="5"/>
  <c r="E9" i="5"/>
  <c r="E12" i="5" l="1"/>
  <c r="D21" i="5" s="1"/>
  <c r="D24" i="5" s="1"/>
  <c r="D12" i="5"/>
  <c r="D18" i="5" s="1"/>
  <c r="G13" i="4"/>
  <c r="G12" i="4"/>
  <c r="G11" i="4"/>
  <c r="G10" i="4"/>
  <c r="G9" i="4"/>
  <c r="G8" i="4"/>
  <c r="G7" i="4"/>
  <c r="G6" i="4"/>
  <c r="G5" i="4"/>
  <c r="B12" i="2"/>
  <c r="R32" i="1"/>
  <c r="R33" i="1"/>
  <c r="R34" i="1"/>
  <c r="R35" i="1"/>
  <c r="R36" i="1"/>
  <c r="R37" i="1"/>
  <c r="R38" i="1"/>
  <c r="R39" i="1"/>
  <c r="R31" i="1"/>
  <c r="D32" i="1"/>
  <c r="D33" i="1"/>
  <c r="D34" i="1"/>
  <c r="D35" i="1"/>
  <c r="D36" i="1"/>
  <c r="D37" i="1"/>
  <c r="D38" i="1"/>
  <c r="D39" i="1"/>
  <c r="D31" i="1"/>
</calcChain>
</file>

<file path=xl/sharedStrings.xml><?xml version="1.0" encoding="utf-8"?>
<sst xmlns="http://schemas.openxmlformats.org/spreadsheetml/2006/main" count="82" uniqueCount="40">
  <si>
    <t>Valores</t>
  </si>
  <si>
    <t>f(x) = |X|</t>
  </si>
  <si>
    <t>f(x) = X^2</t>
  </si>
  <si>
    <t>Los datos</t>
  </si>
  <si>
    <t>xi</t>
  </si>
  <si>
    <t>xi-x_prom</t>
  </si>
  <si>
    <t>|xi-x_prom|</t>
  </si>
  <si>
    <t>(xi-x_prom)^2</t>
  </si>
  <si>
    <t>3,10,2,8,7</t>
  </si>
  <si>
    <t>x_prom</t>
  </si>
  <si>
    <t>n</t>
  </si>
  <si>
    <t>Total</t>
  </si>
  <si>
    <t>DM=</t>
  </si>
  <si>
    <t>Variacncia=</t>
  </si>
  <si>
    <t>DE=</t>
  </si>
  <si>
    <t>Salario en colones A</t>
  </si>
  <si>
    <t>Salario en colones B</t>
  </si>
  <si>
    <t>Estadístico</t>
  </si>
  <si>
    <t>Función</t>
  </si>
  <si>
    <t>Valor</t>
  </si>
  <si>
    <t>Mínimo_A</t>
  </si>
  <si>
    <t>"=MIN()"</t>
  </si>
  <si>
    <t>Máximo_A</t>
  </si>
  <si>
    <t>"=MAX()"</t>
  </si>
  <si>
    <t>Rango_A</t>
  </si>
  <si>
    <t>"=MAX() - MIN()"</t>
  </si>
  <si>
    <t>Intercuatil_A</t>
  </si>
  <si>
    <t>"=PERCENTIL.EXC(DATOS;0,75)-PERCENTIL.EXC(DATOS;0,25)"</t>
  </si>
  <si>
    <t>Desviación media_A</t>
  </si>
  <si>
    <t>"=DESVPROM()"</t>
  </si>
  <si>
    <t>Variancia_A</t>
  </si>
  <si>
    <t>"=VAR.S()"</t>
  </si>
  <si>
    <t>Desvión estándar_A</t>
  </si>
  <si>
    <t>"=DESVEST.M()"</t>
  </si>
  <si>
    <t>Promedio A</t>
  </si>
  <si>
    <t>"=promedio()"</t>
  </si>
  <si>
    <t>Promedio B</t>
  </si>
  <si>
    <t>CV_A</t>
  </si>
  <si>
    <t>"=DESVEST.M()/promedio()*100"</t>
  </si>
  <si>
    <t>CV_B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</si>
</sst>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2" fontId="0" fillId="0" borderId="0" xfId="0" applyNumberFormat="1"/>
    <xf numFmtId="2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2" fontId="0" fillId="3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</xdr:row>
      <xdr:rowOff>161925</xdr:rowOff>
    </xdr:from>
    <xdr:to>
      <xdr:col>11</xdr:col>
      <xdr:colOff>323850</xdr:colOff>
      <xdr:row>28</xdr:row>
      <xdr:rowOff>38348</xdr:rowOff>
    </xdr:to>
    <xdr:pic>
      <xdr:nvPicPr>
        <xdr:cNvPr id="2" name="Imagen 1" descr="Valor absoluto - Wikipedia, la enciclopedia libre">
          <a:extLst>
            <a:ext uri="{FF2B5EF4-FFF2-40B4-BE49-F238E27FC236}">
              <a16:creationId xmlns:a16="http://schemas.microsoft.com/office/drawing/2014/main" id="{22F3232D-A109-47CD-9176-95CD58E3E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114425"/>
          <a:ext cx="6400800" cy="4257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504825</xdr:colOff>
      <xdr:row>0</xdr:row>
      <xdr:rowOff>142875</xdr:rowOff>
    </xdr:from>
    <xdr:to>
      <xdr:col>11</xdr:col>
      <xdr:colOff>371475</xdr:colOff>
      <xdr:row>3</xdr:row>
      <xdr:rowOff>171450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E6D6D485-DE8C-49EC-A36A-F3E4D1DE622D}"/>
                </a:ext>
              </a:extLst>
            </xdr:cNvPr>
            <xdr:cNvSpPr/>
          </xdr:nvSpPr>
          <xdr:spPr>
            <a:xfrm>
              <a:off x="504825" y="142875"/>
              <a:ext cx="6572250" cy="600075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Función absoluta</a:t>
              </a:r>
              <a:r>
                <a:rPr lang="en-US" sz="2000" baseline="0"/>
                <a:t>: </a:t>
              </a:r>
              <a14:m>
                <m:oMath xmlns:m="http://schemas.openxmlformats.org/officeDocument/2006/math">
                  <m:r>
                    <a:rPr lang="es-CR" sz="2000" b="0" i="1" baseline="0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s-CR" sz="20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CR" sz="20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CR" sz="2000" b="0" i="1" baseline="0">
                      <a:latin typeface="Cambria Math" panose="02040503050406030204" pitchFamily="18" charset="0"/>
                    </a:rPr>
                    <m:t>= </m:t>
                  </m:r>
                  <m:d>
                    <m:dPr>
                      <m:begChr m:val="|"/>
                      <m:endChr m:val="|"/>
                      <m:ctrlPr>
                        <a:rPr lang="es-CR" sz="20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CR" sz="20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</m:oMath>
              </a14:m>
              <a:endParaRPr lang="en-US" sz="2000"/>
            </a:p>
          </xdr:txBody>
        </xdr:sp>
      </mc:Choice>
      <mc:Fallback xmlns="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E6D6D485-DE8C-49EC-A36A-F3E4D1DE622D}"/>
                </a:ext>
              </a:extLst>
            </xdr:cNvPr>
            <xdr:cNvSpPr/>
          </xdr:nvSpPr>
          <xdr:spPr>
            <a:xfrm>
              <a:off x="504825" y="142875"/>
              <a:ext cx="6572250" cy="600075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Función absoluta</a:t>
              </a:r>
              <a:r>
                <a:rPr lang="en-US" sz="2000" baseline="0"/>
                <a:t>: </a:t>
              </a:r>
              <a:r>
                <a:rPr lang="es-CR" sz="2000" b="0" i="0" baseline="0">
                  <a:latin typeface="Cambria Math" panose="02040503050406030204" pitchFamily="18" charset="0"/>
                </a:rPr>
                <a:t>𝑓(𝑥)= |𝑥|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14</xdr:col>
      <xdr:colOff>95250</xdr:colOff>
      <xdr:row>0</xdr:row>
      <xdr:rowOff>133350</xdr:rowOff>
    </xdr:from>
    <xdr:to>
      <xdr:col>24</xdr:col>
      <xdr:colOff>571500</xdr:colOff>
      <xdr:row>3</xdr:row>
      <xdr:rowOff>161925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6421E385-C39D-4FDF-9B71-5AACFFB00247}"/>
                </a:ext>
              </a:extLst>
            </xdr:cNvPr>
            <xdr:cNvSpPr/>
          </xdr:nvSpPr>
          <xdr:spPr>
            <a:xfrm>
              <a:off x="8629650" y="133350"/>
              <a:ext cx="6572250" cy="600075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Función cuadrática</a:t>
              </a:r>
              <a:r>
                <a:rPr lang="en-US" sz="2000" baseline="0"/>
                <a:t> : </a:t>
              </a:r>
              <a14:m>
                <m:oMath xmlns:m="http://schemas.openxmlformats.org/officeDocument/2006/math">
                  <m:r>
                    <a:rPr lang="es-CR" sz="2000" b="0" i="1" baseline="0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s-CR" sz="20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CR" sz="20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CR" sz="2000" b="0" i="1" baseline="0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s-CR" sz="2000" b="0" i="1" baseline="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CR" sz="20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CR" sz="2000" b="0" i="1" baseline="0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endParaRPr lang="en-US" sz="2000"/>
            </a:p>
          </xdr:txBody>
        </xdr:sp>
      </mc:Choice>
      <mc:Fallback xmlns="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6421E385-C39D-4FDF-9B71-5AACFFB00247}"/>
                </a:ext>
              </a:extLst>
            </xdr:cNvPr>
            <xdr:cNvSpPr/>
          </xdr:nvSpPr>
          <xdr:spPr>
            <a:xfrm>
              <a:off x="8629650" y="133350"/>
              <a:ext cx="6572250" cy="600075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Función cuadrática</a:t>
              </a:r>
              <a:r>
                <a:rPr lang="en-US" sz="2000" baseline="0"/>
                <a:t> : </a:t>
              </a:r>
              <a:r>
                <a:rPr lang="es-CR" sz="2000" b="0" i="0" baseline="0">
                  <a:latin typeface="Cambria Math" panose="02040503050406030204" pitchFamily="18" charset="0"/>
                </a:rPr>
                <a:t>𝑓(𝑥)=𝑥^2</a:t>
              </a:r>
              <a:endParaRPr lang="en-US" sz="2000"/>
            </a:p>
          </xdr:txBody>
        </xdr:sp>
      </mc:Fallback>
    </mc:AlternateContent>
    <xdr:clientData/>
  </xdr:twoCellAnchor>
  <xdr:twoCellAnchor editAs="oneCell">
    <xdr:from>
      <xdr:col>15</xdr:col>
      <xdr:colOff>95250</xdr:colOff>
      <xdr:row>6</xdr:row>
      <xdr:rowOff>78536</xdr:rowOff>
    </xdr:from>
    <xdr:to>
      <xdr:col>24</xdr:col>
      <xdr:colOff>447675</xdr:colOff>
      <xdr:row>26</xdr:row>
      <xdr:rowOff>142876</xdr:rowOff>
    </xdr:to>
    <xdr:pic>
      <xdr:nvPicPr>
        <xdr:cNvPr id="5" name="Imagen 4" descr="FUNCIÓN CUADRÁTICA - Mate09">
          <a:extLst>
            <a:ext uri="{FF2B5EF4-FFF2-40B4-BE49-F238E27FC236}">
              <a16:creationId xmlns:a16="http://schemas.microsoft.com/office/drawing/2014/main" id="{A42F6051-E8CB-4E41-97D3-4B42E210BB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491"/>
        <a:stretch/>
      </xdr:blipFill>
      <xdr:spPr bwMode="auto">
        <a:xfrm>
          <a:off x="9239250" y="1221536"/>
          <a:ext cx="5838825" cy="387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3</xdr:row>
      <xdr:rowOff>57150</xdr:rowOff>
    </xdr:from>
    <xdr:to>
      <xdr:col>15</xdr:col>
      <xdr:colOff>22978</xdr:colOff>
      <xdr:row>7</xdr:row>
      <xdr:rowOff>128199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5FE6FAD8-5507-481B-9CE7-5050399DD8A5}"/>
                </a:ext>
              </a:extLst>
            </xdr:cNvPr>
            <xdr:cNvSpPr/>
          </xdr:nvSpPr>
          <xdr:spPr>
            <a:xfrm>
              <a:off x="6210300" y="628650"/>
              <a:ext cx="5652253" cy="83304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400" i="1">
                        <a:latin typeface="Cambria Math" panose="02040503050406030204" pitchFamily="18" charset="0"/>
                      </a:rPr>
                      <m:t>𝐷𝑀</m:t>
                    </m:r>
                    <m:r>
                      <a:rPr lang="es-ES" sz="240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ES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ES" sz="24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s-ES" sz="2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ES" sz="240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nary>
                      </m:num>
                      <m:den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ES" sz="2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𝑑𝑒𝑠𝑣𝑖𝑎𝑐𝑖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ó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𝑎𝑏𝑠𝑜𝑙𝑢𝑡𝑎</m:t>
                        </m:r>
                      </m:num>
                      <m:den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ú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𝑚𝑒𝑟𝑜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𝑑𝑎𝑡𝑜𝑠</m:t>
                        </m:r>
                      </m:den>
                    </m:f>
                  </m:oMath>
                </m:oMathPara>
              </a14:m>
              <a:endParaRPr lang="es-ES" sz="2400"/>
            </a:p>
          </xdr:txBody>
        </xdr:sp>
      </mc:Choice>
      <mc:Fallback xmlns="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5FE6FAD8-5507-481B-9CE7-5050399DD8A5}"/>
                </a:ext>
              </a:extLst>
            </xdr:cNvPr>
            <xdr:cNvSpPr/>
          </xdr:nvSpPr>
          <xdr:spPr>
            <a:xfrm>
              <a:off x="6210300" y="628650"/>
              <a:ext cx="5652253" cy="83304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400" i="0">
                  <a:latin typeface="Cambria Math" panose="02040503050406030204" pitchFamily="18" charset="0"/>
                </a:rPr>
                <a:t>𝐷𝑀=  (∑▒|𝑋_𝑖−𝑋 ̅ | )/𝑛=(𝑑𝑒𝑠𝑣𝑖𝑎𝑐𝑖ó𝑛 𝑎𝑏𝑠𝑜𝑙𝑢𝑡𝑎)/(𝑛ú𝑚𝑒𝑟𝑜 𝑑𝑒 𝑑𝑎𝑡𝑜𝑠)</a:t>
              </a:r>
              <a:endParaRPr lang="es-ES" sz="2400"/>
            </a:p>
          </xdr:txBody>
        </xdr:sp>
      </mc:Fallback>
    </mc:AlternateContent>
    <xdr:clientData/>
  </xdr:twoCellAnchor>
  <xdr:twoCellAnchor>
    <xdr:from>
      <xdr:col>7</xdr:col>
      <xdr:colOff>247650</xdr:colOff>
      <xdr:row>13</xdr:row>
      <xdr:rowOff>38100</xdr:rowOff>
    </xdr:from>
    <xdr:to>
      <xdr:col>16</xdr:col>
      <xdr:colOff>247650</xdr:colOff>
      <xdr:row>17</xdr:row>
      <xdr:rowOff>26690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CAA69D8E-DE5B-451A-8484-C735645B05D0}"/>
                </a:ext>
              </a:extLst>
            </xdr:cNvPr>
            <xdr:cNvSpPr/>
          </xdr:nvSpPr>
          <xdr:spPr>
            <a:xfrm>
              <a:off x="5991225" y="2514600"/>
              <a:ext cx="6858000" cy="75059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000" i="1">
                        <a:latin typeface="Cambria Math" panose="02040503050406030204" pitchFamily="18" charset="0"/>
                      </a:rPr>
                      <m:t>𝑉𝑎𝑟𝑖𝑎𝑛𝑐𝑖𝑎</m:t>
                    </m:r>
                    <m:r>
                      <a:rPr lang="es-ES" sz="2000" i="0">
                        <a:latin typeface="Cambria Math" panose="02040503050406030204" pitchFamily="18" charset="0"/>
                      </a:rPr>
                      <m:t>= </m:t>
                    </m:r>
                    <m:sSup>
                      <m:sSup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ES" sz="20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ES" sz="2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s-ES" sz="20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d>
                                  <m:dPr>
                                    <m:ctrlPr>
                                      <a:rPr lang="es-ES" sz="20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ES" sz="2000" i="0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acc>
                                      <m:accPr>
                                        <m:chr m:val="̅"/>
                                        <m:ctrlP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</m:acc>
                                  </m:e>
                                </m:d>
                              </m:e>
                            </m:nary>
                          </m:e>
                          <m:sup>
                            <m:r>
                              <a:rPr lang="es-ES" sz="20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r>
                      <a:rPr lang="es-ES" sz="20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𝑑𝑒𝑠𝑣𝑖𝑎𝑐𝑖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ó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𝑐𝑢𝑎𝑑𝑟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𝑡𝑖𝑐𝑎</m:t>
                        </m:r>
                      </m:num>
                      <m:den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ú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𝑚𝑒𝑟𝑜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𝑑𝑎𝑡𝑜𝑠</m:t>
                        </m:r>
                        <m:r>
                          <a:rPr lang="es-CR" sz="20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</m:oMath>
                </m:oMathPara>
              </a14:m>
              <a:endParaRPr lang="es-ES" sz="2000"/>
            </a:p>
          </xdr:txBody>
        </xdr:sp>
      </mc:Choice>
      <mc:Fallback xmlns="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CAA69D8E-DE5B-451A-8484-C735645B05D0}"/>
                </a:ext>
              </a:extLst>
            </xdr:cNvPr>
            <xdr:cNvSpPr/>
          </xdr:nvSpPr>
          <xdr:spPr>
            <a:xfrm>
              <a:off x="5991225" y="2514600"/>
              <a:ext cx="6858000" cy="75059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000" i="0">
                  <a:latin typeface="Cambria Math" panose="02040503050406030204" pitchFamily="18" charset="0"/>
                </a:rPr>
                <a:t>𝑉𝑎𝑟𝑖𝑎𝑛𝑐𝑖𝑎= 𝑠^2=∑▒(𝑥_𝑖−𝑥 ̅ ) ^2/(𝑛−1)=(𝑑𝑒𝑠𝑣𝑖𝑎𝑐𝑖ó𝑛 𝑐𝑢𝑎𝑑𝑟á𝑡𝑖𝑐𝑎)/(𝑛ú𝑚𝑒𝑟𝑜 𝑑𝑒 𝑑𝑎𝑡𝑜𝑠</a:t>
              </a:r>
              <a:r>
                <a:rPr lang="es-CR" sz="2000" b="0" i="0">
                  <a:latin typeface="Cambria Math" panose="02040503050406030204" pitchFamily="18" charset="0"/>
                </a:rPr>
                <a:t>−1</a:t>
              </a:r>
              <a:r>
                <a:rPr lang="es-ES" sz="2000" b="0" i="0">
                  <a:latin typeface="Cambria Math" panose="02040503050406030204" pitchFamily="18" charset="0"/>
                </a:rPr>
                <a:t>)</a:t>
              </a:r>
              <a:endParaRPr lang="es-ES" sz="2000"/>
            </a:p>
          </xdr:txBody>
        </xdr:sp>
      </mc:Fallback>
    </mc:AlternateContent>
    <xdr:clientData/>
  </xdr:twoCellAnchor>
  <xdr:twoCellAnchor editAs="oneCell">
    <xdr:from>
      <xdr:col>7</xdr:col>
      <xdr:colOff>552450</xdr:colOff>
      <xdr:row>21</xdr:row>
      <xdr:rowOff>66675</xdr:rowOff>
    </xdr:from>
    <xdr:to>
      <xdr:col>17</xdr:col>
      <xdr:colOff>22713</xdr:colOff>
      <xdr:row>26</xdr:row>
      <xdr:rowOff>164501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1FAA3E-2574-445D-BCA0-1F25DBC94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025" y="4067175"/>
          <a:ext cx="7090263" cy="10668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3</xdr:row>
      <xdr:rowOff>57150</xdr:rowOff>
    </xdr:from>
    <xdr:to>
      <xdr:col>15</xdr:col>
      <xdr:colOff>22978</xdr:colOff>
      <xdr:row>7</xdr:row>
      <xdr:rowOff>128199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79CA3AC-EB4A-4E7D-9429-8C41F5369013}"/>
                </a:ext>
              </a:extLst>
            </xdr:cNvPr>
            <xdr:cNvSpPr/>
          </xdr:nvSpPr>
          <xdr:spPr>
            <a:xfrm>
              <a:off x="6210300" y="628650"/>
              <a:ext cx="5652253" cy="83304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400" i="1">
                        <a:latin typeface="Cambria Math" panose="02040503050406030204" pitchFamily="18" charset="0"/>
                      </a:rPr>
                      <m:t>𝐷𝑀</m:t>
                    </m:r>
                    <m:r>
                      <a:rPr lang="es-ES" sz="240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ES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ES" sz="24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s-ES" sz="2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ES" sz="240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nary>
                      </m:num>
                      <m:den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ES" sz="2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𝑑𝑒𝑠𝑣𝑖𝑎𝑐𝑖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ó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𝑎𝑏𝑠𝑜𝑙𝑢𝑡𝑎</m:t>
                        </m:r>
                      </m:num>
                      <m:den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ú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𝑚𝑒𝑟𝑜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𝑑𝑎𝑡𝑜𝑠</m:t>
                        </m:r>
                      </m:den>
                    </m:f>
                  </m:oMath>
                </m:oMathPara>
              </a14:m>
              <a:endParaRPr lang="es-ES" sz="2400"/>
            </a:p>
          </xdr:txBody>
        </xdr:sp>
      </mc:Choice>
      <mc:Fallback xmlns="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79CA3AC-EB4A-4E7D-9429-8C41F5369013}"/>
                </a:ext>
              </a:extLst>
            </xdr:cNvPr>
            <xdr:cNvSpPr/>
          </xdr:nvSpPr>
          <xdr:spPr>
            <a:xfrm>
              <a:off x="6210300" y="628650"/>
              <a:ext cx="5652253" cy="83304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400" i="0">
                  <a:latin typeface="Cambria Math" panose="02040503050406030204" pitchFamily="18" charset="0"/>
                </a:rPr>
                <a:t>𝐷𝑀=  (∑▒|𝑋_𝑖−𝑋 ̅ | )/𝑛=(𝑑𝑒𝑠𝑣𝑖𝑎𝑐𝑖ó𝑛 𝑎𝑏𝑠𝑜𝑙𝑢𝑡𝑎)/(𝑛ú𝑚𝑒𝑟𝑜 𝑑𝑒 𝑑𝑎𝑡𝑜𝑠)</a:t>
              </a:r>
              <a:endParaRPr lang="es-ES" sz="2400"/>
            </a:p>
          </xdr:txBody>
        </xdr:sp>
      </mc:Fallback>
    </mc:AlternateContent>
    <xdr:clientData/>
  </xdr:twoCellAnchor>
  <xdr:twoCellAnchor>
    <xdr:from>
      <xdr:col>7</xdr:col>
      <xdr:colOff>247650</xdr:colOff>
      <xdr:row>13</xdr:row>
      <xdr:rowOff>38100</xdr:rowOff>
    </xdr:from>
    <xdr:to>
      <xdr:col>16</xdr:col>
      <xdr:colOff>247650</xdr:colOff>
      <xdr:row>17</xdr:row>
      <xdr:rowOff>26690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C0FA072E-2A5B-42F5-A513-629D4921623B}"/>
                </a:ext>
              </a:extLst>
            </xdr:cNvPr>
            <xdr:cNvSpPr/>
          </xdr:nvSpPr>
          <xdr:spPr>
            <a:xfrm>
              <a:off x="5991225" y="2514600"/>
              <a:ext cx="6858000" cy="75059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000" i="1">
                        <a:latin typeface="Cambria Math" panose="02040503050406030204" pitchFamily="18" charset="0"/>
                      </a:rPr>
                      <m:t>𝑉𝑎𝑟𝑖𝑎𝑛𝑐𝑖𝑎</m:t>
                    </m:r>
                    <m:r>
                      <a:rPr lang="es-ES" sz="2000" i="0">
                        <a:latin typeface="Cambria Math" panose="02040503050406030204" pitchFamily="18" charset="0"/>
                      </a:rPr>
                      <m:t>= </m:t>
                    </m:r>
                    <m:sSup>
                      <m:sSup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ES" sz="20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ES" sz="2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s-ES" sz="20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d>
                                  <m:dPr>
                                    <m:ctrlPr>
                                      <a:rPr lang="es-ES" sz="20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ES" sz="2000" i="0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acc>
                                      <m:accPr>
                                        <m:chr m:val="̅"/>
                                        <m:ctrlP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</m:acc>
                                  </m:e>
                                </m:d>
                              </m:e>
                            </m:nary>
                          </m:e>
                          <m:sup>
                            <m:r>
                              <a:rPr lang="es-ES" sz="20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r>
                      <a:rPr lang="es-ES" sz="20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𝑑𝑒𝑠𝑣𝑖𝑎𝑐𝑖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ó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𝑐𝑢𝑎𝑑𝑟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𝑡𝑖𝑐𝑎</m:t>
                        </m:r>
                      </m:num>
                      <m:den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ú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𝑚𝑒𝑟𝑜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𝑑𝑎𝑡𝑜𝑠</m:t>
                        </m:r>
                        <m:r>
                          <a:rPr lang="es-CR" sz="20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</m:oMath>
                </m:oMathPara>
              </a14:m>
              <a:endParaRPr lang="es-ES" sz="2000"/>
            </a:p>
          </xdr:txBody>
        </xdr:sp>
      </mc:Choice>
      <mc:Fallback xmlns="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C0FA072E-2A5B-42F5-A513-629D4921623B}"/>
                </a:ext>
              </a:extLst>
            </xdr:cNvPr>
            <xdr:cNvSpPr/>
          </xdr:nvSpPr>
          <xdr:spPr>
            <a:xfrm>
              <a:off x="5991225" y="2514600"/>
              <a:ext cx="6858000" cy="75059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000" i="0">
                  <a:latin typeface="Cambria Math" panose="02040503050406030204" pitchFamily="18" charset="0"/>
                </a:rPr>
                <a:t>𝑉𝑎𝑟𝑖𝑎𝑛𝑐𝑖𝑎= 𝑠^2=∑▒(𝑥_𝑖−𝑥 ̅ ) ^2/(𝑛−1)=(𝑑𝑒𝑠𝑣𝑖𝑎𝑐𝑖ó𝑛 𝑐𝑢𝑎𝑑𝑟á𝑡𝑖𝑐𝑎)/(𝑛ú𝑚𝑒𝑟𝑜 𝑑𝑒 𝑑𝑎𝑡𝑜𝑠</a:t>
              </a:r>
              <a:r>
                <a:rPr lang="es-CR" sz="2000" b="0" i="0">
                  <a:latin typeface="Cambria Math" panose="02040503050406030204" pitchFamily="18" charset="0"/>
                </a:rPr>
                <a:t>−1</a:t>
              </a:r>
              <a:r>
                <a:rPr lang="es-ES" sz="2000" b="0" i="0">
                  <a:latin typeface="Cambria Math" panose="02040503050406030204" pitchFamily="18" charset="0"/>
                </a:rPr>
                <a:t>)</a:t>
              </a:r>
              <a:endParaRPr lang="es-ES" sz="2000"/>
            </a:p>
          </xdr:txBody>
        </xdr:sp>
      </mc:Fallback>
    </mc:AlternateContent>
    <xdr:clientData/>
  </xdr:twoCellAnchor>
  <xdr:twoCellAnchor editAs="oneCell">
    <xdr:from>
      <xdr:col>7</xdr:col>
      <xdr:colOff>552450</xdr:colOff>
      <xdr:row>21</xdr:row>
      <xdr:rowOff>66675</xdr:rowOff>
    </xdr:from>
    <xdr:to>
      <xdr:col>17</xdr:col>
      <xdr:colOff>22713</xdr:colOff>
      <xdr:row>26</xdr:row>
      <xdr:rowOff>162017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E2E620-BA7A-4D6E-935C-8014B9DF4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025" y="4067175"/>
          <a:ext cx="7090263" cy="1066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9:S39"/>
  <sheetViews>
    <sheetView zoomScale="55" zoomScaleNormal="55" workbookViewId="0">
      <selection activeCell="D30" sqref="D30"/>
    </sheetView>
  </sheetViews>
  <sheetFormatPr baseColWidth="10" defaultColWidth="9.140625" defaultRowHeight="15" x14ac:dyDescent="0.25"/>
  <cols>
    <col min="1" max="16384" width="9.140625" style="1"/>
  </cols>
  <sheetData>
    <row r="19" spans="3:19" x14ac:dyDescent="0.25">
      <c r="S19"/>
    </row>
    <row r="30" spans="3:19" x14ac:dyDescent="0.25">
      <c r="C30" s="3" t="s">
        <v>0</v>
      </c>
      <c r="D30" s="3" t="s">
        <v>1</v>
      </c>
      <c r="Q30" s="3" t="s">
        <v>0</v>
      </c>
      <c r="R30" s="3" t="s">
        <v>2</v>
      </c>
    </row>
    <row r="31" spans="3:19" x14ac:dyDescent="0.25">
      <c r="C31" s="4">
        <v>-4</v>
      </c>
      <c r="D31" s="4">
        <f>ABS(C31)</f>
        <v>4</v>
      </c>
      <c r="Q31" s="4">
        <v>-4</v>
      </c>
      <c r="R31" s="4">
        <f>Q31^2</f>
        <v>16</v>
      </c>
    </row>
    <row r="32" spans="3:19" x14ac:dyDescent="0.25">
      <c r="C32" s="2">
        <v>-3</v>
      </c>
      <c r="D32" s="2">
        <f t="shared" ref="D32:D39" si="0">ABS(C32)</f>
        <v>3</v>
      </c>
      <c r="Q32" s="2">
        <v>-3</v>
      </c>
      <c r="R32" s="2">
        <f t="shared" ref="R32:R39" si="1">Q32^2</f>
        <v>9</v>
      </c>
    </row>
    <row r="33" spans="3:18" x14ac:dyDescent="0.25">
      <c r="C33" s="2">
        <v>-2</v>
      </c>
      <c r="D33" s="2">
        <f t="shared" si="0"/>
        <v>2</v>
      </c>
      <c r="Q33" s="2">
        <v>-2</v>
      </c>
      <c r="R33" s="2">
        <f t="shared" si="1"/>
        <v>4</v>
      </c>
    </row>
    <row r="34" spans="3:18" x14ac:dyDescent="0.25">
      <c r="C34" s="2">
        <v>-1</v>
      </c>
      <c r="D34" s="2">
        <f t="shared" si="0"/>
        <v>1</v>
      </c>
      <c r="Q34" s="2">
        <v>-1</v>
      </c>
      <c r="R34" s="2">
        <f t="shared" si="1"/>
        <v>1</v>
      </c>
    </row>
    <row r="35" spans="3:18" x14ac:dyDescent="0.25">
      <c r="C35" s="2">
        <v>0</v>
      </c>
      <c r="D35" s="2">
        <f t="shared" si="0"/>
        <v>0</v>
      </c>
      <c r="Q35" s="2">
        <v>0</v>
      </c>
      <c r="R35" s="2">
        <f t="shared" si="1"/>
        <v>0</v>
      </c>
    </row>
    <row r="36" spans="3:18" x14ac:dyDescent="0.25">
      <c r="C36" s="2">
        <v>1</v>
      </c>
      <c r="D36" s="2">
        <f t="shared" si="0"/>
        <v>1</v>
      </c>
      <c r="Q36" s="2">
        <v>1</v>
      </c>
      <c r="R36" s="2">
        <f t="shared" si="1"/>
        <v>1</v>
      </c>
    </row>
    <row r="37" spans="3:18" x14ac:dyDescent="0.25">
      <c r="C37" s="2">
        <v>2</v>
      </c>
      <c r="D37" s="2">
        <f t="shared" si="0"/>
        <v>2</v>
      </c>
      <c r="Q37" s="2">
        <v>2</v>
      </c>
      <c r="R37" s="2">
        <f t="shared" si="1"/>
        <v>4</v>
      </c>
    </row>
    <row r="38" spans="3:18" x14ac:dyDescent="0.25">
      <c r="C38" s="2">
        <v>3</v>
      </c>
      <c r="D38" s="2">
        <f t="shared" si="0"/>
        <v>3</v>
      </c>
      <c r="Q38" s="2">
        <v>3</v>
      </c>
      <c r="R38" s="2">
        <f t="shared" si="1"/>
        <v>9</v>
      </c>
    </row>
    <row r="39" spans="3:18" x14ac:dyDescent="0.25">
      <c r="C39" s="5">
        <v>4</v>
      </c>
      <c r="D39" s="5">
        <f t="shared" si="0"/>
        <v>4</v>
      </c>
      <c r="Q39" s="5">
        <v>4</v>
      </c>
      <c r="R39" s="5">
        <f t="shared" si="1"/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8C50-3F30-48FC-B26B-BF5B4005E19F}">
  <dimension ref="A2:E24"/>
  <sheetViews>
    <sheetView tabSelected="1" topLeftCell="A7" zoomScale="85" zoomScaleNormal="85" workbookViewId="0">
      <selection activeCell="C24" sqref="C24"/>
    </sheetView>
  </sheetViews>
  <sheetFormatPr baseColWidth="10" defaultRowHeight="15" x14ac:dyDescent="0.25"/>
  <cols>
    <col min="5" max="5" width="17.5703125" customWidth="1"/>
  </cols>
  <sheetData>
    <row r="2" spans="1:5" x14ac:dyDescent="0.25">
      <c r="A2" t="s">
        <v>3</v>
      </c>
      <c r="B2" t="s">
        <v>8</v>
      </c>
    </row>
    <row r="3" spans="1:5" x14ac:dyDescent="0.25">
      <c r="A3" t="s">
        <v>9</v>
      </c>
      <c r="B3">
        <f>AVERAGE(B7:B11)</f>
        <v>6</v>
      </c>
    </row>
    <row r="4" spans="1:5" x14ac:dyDescent="0.25">
      <c r="A4" t="s">
        <v>10</v>
      </c>
      <c r="B4">
        <v>5</v>
      </c>
    </row>
    <row r="6" spans="1:5" x14ac:dyDescent="0.25">
      <c r="B6" s="12" t="s">
        <v>4</v>
      </c>
      <c r="C6" s="12" t="s">
        <v>5</v>
      </c>
      <c r="D6" s="12" t="s">
        <v>6</v>
      </c>
      <c r="E6" s="12" t="s">
        <v>7</v>
      </c>
    </row>
    <row r="7" spans="1:5" x14ac:dyDescent="0.25">
      <c r="B7" s="10">
        <v>3</v>
      </c>
      <c r="C7" s="10">
        <f>B7-$B$3</f>
        <v>-3</v>
      </c>
      <c r="D7" s="10">
        <f>ABS(B7-$B$3)</f>
        <v>3</v>
      </c>
      <c r="E7" s="10">
        <f>SUMSQ(B7-$B$3)</f>
        <v>9</v>
      </c>
    </row>
    <row r="8" spans="1:5" x14ac:dyDescent="0.25">
      <c r="B8" s="6">
        <v>10</v>
      </c>
      <c r="C8" s="10">
        <f t="shared" ref="C8:C11" si="0">B8-$B$3</f>
        <v>4</v>
      </c>
      <c r="D8" s="10">
        <f t="shared" ref="D8:D11" si="1">ABS(B8-$B$3)</f>
        <v>4</v>
      </c>
      <c r="E8" s="10">
        <f t="shared" ref="E8:E11" si="2">SUMSQ(B8-$B$3)</f>
        <v>16</v>
      </c>
    </row>
    <row r="9" spans="1:5" x14ac:dyDescent="0.25">
      <c r="B9" s="6">
        <v>2</v>
      </c>
      <c r="C9" s="10">
        <f t="shared" si="0"/>
        <v>-4</v>
      </c>
      <c r="D9" s="10">
        <f t="shared" si="1"/>
        <v>4</v>
      </c>
      <c r="E9" s="10">
        <f t="shared" si="2"/>
        <v>16</v>
      </c>
    </row>
    <row r="10" spans="1:5" x14ac:dyDescent="0.25">
      <c r="B10" s="6">
        <v>8</v>
      </c>
      <c r="C10" s="10">
        <f t="shared" si="0"/>
        <v>2</v>
      </c>
      <c r="D10" s="10">
        <f t="shared" si="1"/>
        <v>2</v>
      </c>
      <c r="E10" s="10">
        <f t="shared" si="2"/>
        <v>4</v>
      </c>
    </row>
    <row r="11" spans="1:5" x14ac:dyDescent="0.25">
      <c r="B11" s="11">
        <v>7</v>
      </c>
      <c r="C11" s="10">
        <f t="shared" si="0"/>
        <v>1</v>
      </c>
      <c r="D11" s="10">
        <f t="shared" si="1"/>
        <v>1</v>
      </c>
      <c r="E11" s="10">
        <f t="shared" si="2"/>
        <v>1</v>
      </c>
    </row>
    <row r="12" spans="1:5" x14ac:dyDescent="0.25">
      <c r="A12" s="13" t="s">
        <v>11</v>
      </c>
      <c r="B12" s="12">
        <f>SUM(B7:B11)</f>
        <v>30</v>
      </c>
      <c r="C12" s="12">
        <f>SUM(C7:C11)</f>
        <v>0</v>
      </c>
      <c r="D12" s="12">
        <f>SUM(D7:D11)</f>
        <v>14</v>
      </c>
      <c r="E12" s="9">
        <f>SUM(E7:E11)</f>
        <v>46</v>
      </c>
    </row>
    <row r="17" spans="2:4" ht="15.75" thickBot="1" x14ac:dyDescent="0.3"/>
    <row r="18" spans="2:4" ht="15.75" thickBot="1" x14ac:dyDescent="0.3">
      <c r="B18" s="16" t="s">
        <v>12</v>
      </c>
      <c r="C18" s="19">
        <f>D12/B4</f>
        <v>2.8</v>
      </c>
      <c r="D18" s="18"/>
    </row>
    <row r="20" spans="2:4" ht="15.75" thickBot="1" x14ac:dyDescent="0.3"/>
    <row r="21" spans="2:4" ht="15.75" thickBot="1" x14ac:dyDescent="0.3">
      <c r="B21" s="16" t="s">
        <v>13</v>
      </c>
      <c r="C21" s="17">
        <f>E12/(B4-1)</f>
        <v>11.5</v>
      </c>
      <c r="D21" s="18"/>
    </row>
    <row r="23" spans="2:4" ht="15.75" thickBot="1" x14ac:dyDescent="0.3"/>
    <row r="24" spans="2:4" ht="15.75" thickBot="1" x14ac:dyDescent="0.3">
      <c r="B24" s="16" t="s">
        <v>14</v>
      </c>
      <c r="C24" s="20">
        <f>SQRT(C21)</f>
        <v>3.3911649915626341</v>
      </c>
      <c r="D24" s="18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464F-D8C6-41CD-A444-8105962CB3DB}">
  <dimension ref="A2:E24"/>
  <sheetViews>
    <sheetView workbookViewId="0">
      <selection activeCell="H40" sqref="H40"/>
    </sheetView>
  </sheetViews>
  <sheetFormatPr baseColWidth="10" defaultRowHeight="15" x14ac:dyDescent="0.25"/>
  <cols>
    <col min="5" max="5" width="17.5703125" customWidth="1"/>
  </cols>
  <sheetData>
    <row r="2" spans="1:5" x14ac:dyDescent="0.25">
      <c r="A2" t="s">
        <v>3</v>
      </c>
      <c r="B2" t="s">
        <v>8</v>
      </c>
    </row>
    <row r="3" spans="1:5" x14ac:dyDescent="0.25">
      <c r="A3" t="s">
        <v>9</v>
      </c>
      <c r="B3">
        <f>AVERAGE(B7:B11)</f>
        <v>6</v>
      </c>
    </row>
    <row r="4" spans="1:5" x14ac:dyDescent="0.25">
      <c r="A4" t="s">
        <v>10</v>
      </c>
      <c r="B4">
        <v>5</v>
      </c>
    </row>
    <row r="6" spans="1:5" x14ac:dyDescent="0.25">
      <c r="B6" s="12" t="s">
        <v>4</v>
      </c>
      <c r="C6" s="12" t="s">
        <v>5</v>
      </c>
      <c r="D6" s="12" t="s">
        <v>6</v>
      </c>
      <c r="E6" s="12" t="s">
        <v>7</v>
      </c>
    </row>
    <row r="7" spans="1:5" x14ac:dyDescent="0.25">
      <c r="B7" s="10">
        <v>3</v>
      </c>
      <c r="C7" s="10">
        <f>B7-$B$3</f>
        <v>-3</v>
      </c>
      <c r="D7" s="10">
        <f>ABS(B7-$B$3)</f>
        <v>3</v>
      </c>
      <c r="E7" s="10">
        <f>SUMSQ(B7-$B$3)</f>
        <v>9</v>
      </c>
    </row>
    <row r="8" spans="1:5" x14ac:dyDescent="0.25">
      <c r="B8" s="6">
        <v>10</v>
      </c>
      <c r="C8" s="6">
        <f t="shared" ref="C8:C11" si="0">B8-$B$3</f>
        <v>4</v>
      </c>
      <c r="D8" s="6">
        <f t="shared" ref="D8:D11" si="1">ABS(B8-$B$3)</f>
        <v>4</v>
      </c>
      <c r="E8" s="6">
        <f t="shared" ref="E8:E11" si="2">SUMSQ(B8-$B$3)</f>
        <v>16</v>
      </c>
    </row>
    <row r="9" spans="1:5" x14ac:dyDescent="0.25">
      <c r="B9" s="6">
        <v>2</v>
      </c>
      <c r="C9" s="6">
        <f t="shared" si="0"/>
        <v>-4</v>
      </c>
      <c r="D9" s="6">
        <f t="shared" si="1"/>
        <v>4</v>
      </c>
      <c r="E9" s="6">
        <f t="shared" si="2"/>
        <v>16</v>
      </c>
    </row>
    <row r="10" spans="1:5" x14ac:dyDescent="0.25">
      <c r="B10" s="6">
        <v>8</v>
      </c>
      <c r="C10" s="6">
        <f t="shared" si="0"/>
        <v>2</v>
      </c>
      <c r="D10" s="6">
        <f t="shared" si="1"/>
        <v>2</v>
      </c>
      <c r="E10" s="6">
        <f t="shared" si="2"/>
        <v>4</v>
      </c>
    </row>
    <row r="11" spans="1:5" x14ac:dyDescent="0.25">
      <c r="B11" s="11">
        <v>7</v>
      </c>
      <c r="C11" s="6">
        <f t="shared" si="0"/>
        <v>1</v>
      </c>
      <c r="D11" s="6">
        <f t="shared" si="1"/>
        <v>1</v>
      </c>
      <c r="E11" s="6">
        <f t="shared" si="2"/>
        <v>1</v>
      </c>
    </row>
    <row r="12" spans="1:5" x14ac:dyDescent="0.25">
      <c r="A12" s="13" t="s">
        <v>11</v>
      </c>
      <c r="B12" s="12">
        <f>SUM(B7:B11)</f>
        <v>30</v>
      </c>
      <c r="C12" s="12">
        <f>SUM(C7:C11)</f>
        <v>0</v>
      </c>
      <c r="D12" s="12">
        <f>SUM(D7:D11)</f>
        <v>14</v>
      </c>
      <c r="E12" s="9">
        <f>SUM(E7:E11)</f>
        <v>46</v>
      </c>
    </row>
    <row r="17" spans="2:4" ht="15.75" thickBot="1" x14ac:dyDescent="0.3"/>
    <row r="18" spans="2:4" ht="15.75" thickBot="1" x14ac:dyDescent="0.3">
      <c r="B18" s="16" t="s">
        <v>12</v>
      </c>
      <c r="C18" s="17"/>
      <c r="D18" s="18">
        <f>D12/B4</f>
        <v>2.8</v>
      </c>
    </row>
    <row r="20" spans="2:4" ht="15.75" thickBot="1" x14ac:dyDescent="0.3"/>
    <row r="21" spans="2:4" ht="15.75" thickBot="1" x14ac:dyDescent="0.3">
      <c r="B21" s="16" t="s">
        <v>13</v>
      </c>
      <c r="C21" s="17"/>
      <c r="D21" s="18">
        <f>E12/(B4-1)</f>
        <v>11.5</v>
      </c>
    </row>
    <row r="23" spans="2:4" ht="15.75" thickBot="1" x14ac:dyDescent="0.3"/>
    <row r="24" spans="2:4" ht="15.75" thickBot="1" x14ac:dyDescent="0.3">
      <c r="B24" s="16" t="s">
        <v>14</v>
      </c>
      <c r="C24" s="17"/>
      <c r="D24" s="18">
        <f>SQRT(D21)</f>
        <v>3.3911649915626341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C6B0-C939-405B-B4F4-3C28B9EC245B}">
  <dimension ref="A1:F125"/>
  <sheetViews>
    <sheetView zoomScale="145" zoomScaleNormal="145" workbookViewId="0">
      <selection activeCell="D12" sqref="D12"/>
    </sheetView>
  </sheetViews>
  <sheetFormatPr baseColWidth="10" defaultColWidth="11.42578125" defaultRowHeight="15" x14ac:dyDescent="0.25"/>
  <cols>
    <col min="1" max="1" width="27.85546875" customWidth="1"/>
    <col min="2" max="2" width="24.5703125" customWidth="1"/>
    <col min="4" max="4" width="23.140625" customWidth="1"/>
    <col min="5" max="5" width="55" customWidth="1"/>
    <col min="6" max="6" width="13.7109375" customWidth="1"/>
  </cols>
  <sheetData>
    <row r="1" spans="1:6" x14ac:dyDescent="0.25">
      <c r="A1" s="7" t="s">
        <v>15</v>
      </c>
      <c r="B1" s="7" t="s">
        <v>16</v>
      </c>
    </row>
    <row r="2" spans="1:6" x14ac:dyDescent="0.25">
      <c r="A2">
        <v>349392</v>
      </c>
      <c r="B2">
        <v>874224</v>
      </c>
      <c r="D2" s="7" t="s">
        <v>17</v>
      </c>
      <c r="E2" s="9" t="s">
        <v>18</v>
      </c>
      <c r="F2" s="9" t="s">
        <v>19</v>
      </c>
    </row>
    <row r="3" spans="1:6" x14ac:dyDescent="0.25">
      <c r="A3">
        <v>607329</v>
      </c>
      <c r="B3">
        <v>921340</v>
      </c>
      <c r="D3" t="s">
        <v>20</v>
      </c>
      <c r="E3" s="10" t="s">
        <v>21</v>
      </c>
    </row>
    <row r="4" spans="1:6" x14ac:dyDescent="0.25">
      <c r="A4">
        <v>689558</v>
      </c>
      <c r="B4">
        <v>644266</v>
      </c>
      <c r="D4" t="s">
        <v>22</v>
      </c>
      <c r="E4" s="6" t="s">
        <v>23</v>
      </c>
    </row>
    <row r="5" spans="1:6" x14ac:dyDescent="0.25">
      <c r="A5">
        <v>787258</v>
      </c>
      <c r="B5">
        <v>530616</v>
      </c>
      <c r="D5" t="s">
        <v>24</v>
      </c>
      <c r="E5" t="s">
        <v>25</v>
      </c>
    </row>
    <row r="6" spans="1:6" x14ac:dyDescent="0.25">
      <c r="A6">
        <v>647644</v>
      </c>
      <c r="B6">
        <v>767198</v>
      </c>
      <c r="D6" t="s">
        <v>26</v>
      </c>
      <c r="E6" t="s">
        <v>27</v>
      </c>
    </row>
    <row r="7" spans="1:6" x14ac:dyDescent="0.25">
      <c r="A7">
        <v>613258</v>
      </c>
      <c r="B7">
        <v>817587</v>
      </c>
      <c r="D7" t="s">
        <v>28</v>
      </c>
      <c r="E7" s="6" t="s">
        <v>29</v>
      </c>
    </row>
    <row r="8" spans="1:6" x14ac:dyDescent="0.25">
      <c r="A8">
        <v>325289</v>
      </c>
      <c r="B8">
        <v>931986</v>
      </c>
      <c r="D8" t="s">
        <v>30</v>
      </c>
      <c r="E8" s="6" t="s">
        <v>31</v>
      </c>
    </row>
    <row r="9" spans="1:6" x14ac:dyDescent="0.25">
      <c r="A9">
        <v>517569</v>
      </c>
      <c r="B9">
        <v>606990</v>
      </c>
      <c r="D9" t="s">
        <v>32</v>
      </c>
      <c r="E9" s="6" t="s">
        <v>33</v>
      </c>
    </row>
    <row r="10" spans="1:6" x14ac:dyDescent="0.25">
      <c r="A10">
        <v>326231</v>
      </c>
      <c r="B10">
        <v>907007</v>
      </c>
      <c r="D10" t="s">
        <v>34</v>
      </c>
      <c r="E10" s="6" t="s">
        <v>35</v>
      </c>
    </row>
    <row r="11" spans="1:6" x14ac:dyDescent="0.25">
      <c r="A11">
        <v>618845</v>
      </c>
      <c r="B11">
        <v>846421</v>
      </c>
      <c r="D11" t="s">
        <v>36</v>
      </c>
      <c r="E11" s="6" t="s">
        <v>35</v>
      </c>
    </row>
    <row r="12" spans="1:6" x14ac:dyDescent="0.25">
      <c r="A12">
        <v>521520</v>
      </c>
      <c r="B12">
        <v>681858</v>
      </c>
      <c r="D12" t="s">
        <v>37</v>
      </c>
      <c r="E12" s="6" t="s">
        <v>38</v>
      </c>
      <c r="F12" s="14"/>
    </row>
    <row r="13" spans="1:6" x14ac:dyDescent="0.25">
      <c r="A13">
        <v>325512</v>
      </c>
      <c r="B13">
        <v>861683</v>
      </c>
      <c r="D13" s="8" t="s">
        <v>39</v>
      </c>
      <c r="E13" s="11" t="s">
        <v>38</v>
      </c>
      <c r="F13" s="15"/>
    </row>
    <row r="14" spans="1:6" x14ac:dyDescent="0.25">
      <c r="A14">
        <v>410171</v>
      </c>
      <c r="B14">
        <v>533787</v>
      </c>
    </row>
    <row r="15" spans="1:6" x14ac:dyDescent="0.25">
      <c r="A15">
        <v>316704</v>
      </c>
      <c r="B15">
        <v>715950</v>
      </c>
    </row>
    <row r="16" spans="1:6" x14ac:dyDescent="0.25">
      <c r="A16">
        <v>692201</v>
      </c>
      <c r="B16">
        <v>949577</v>
      </c>
    </row>
    <row r="17" spans="1:2" x14ac:dyDescent="0.25">
      <c r="A17">
        <v>752093</v>
      </c>
      <c r="B17">
        <v>879176</v>
      </c>
    </row>
    <row r="18" spans="1:2" x14ac:dyDescent="0.25">
      <c r="A18">
        <v>707074</v>
      </c>
      <c r="B18">
        <v>861828</v>
      </c>
    </row>
    <row r="19" spans="1:2" x14ac:dyDescent="0.25">
      <c r="A19">
        <v>326601</v>
      </c>
      <c r="B19">
        <v>900156</v>
      </c>
    </row>
    <row r="20" spans="1:2" x14ac:dyDescent="0.25">
      <c r="A20">
        <v>625612</v>
      </c>
      <c r="B20">
        <v>735231</v>
      </c>
    </row>
    <row r="21" spans="1:2" x14ac:dyDescent="0.25">
      <c r="A21">
        <v>621305</v>
      </c>
      <c r="B21">
        <v>588423</v>
      </c>
    </row>
    <row r="22" spans="1:2" x14ac:dyDescent="0.25">
      <c r="A22">
        <v>781376</v>
      </c>
      <c r="B22">
        <v>877767</v>
      </c>
    </row>
    <row r="23" spans="1:2" x14ac:dyDescent="0.25">
      <c r="A23">
        <v>422730</v>
      </c>
      <c r="B23">
        <v>951396</v>
      </c>
    </row>
    <row r="24" spans="1:2" x14ac:dyDescent="0.25">
      <c r="A24">
        <v>636350</v>
      </c>
      <c r="B24">
        <v>569054</v>
      </c>
    </row>
    <row r="25" spans="1:2" x14ac:dyDescent="0.25">
      <c r="A25">
        <v>554661</v>
      </c>
      <c r="B25">
        <v>545297</v>
      </c>
    </row>
    <row r="26" spans="1:2" x14ac:dyDescent="0.25">
      <c r="A26">
        <v>325205</v>
      </c>
      <c r="B26">
        <v>877699</v>
      </c>
    </row>
    <row r="27" spans="1:2" x14ac:dyDescent="0.25">
      <c r="A27">
        <v>404656</v>
      </c>
      <c r="B27">
        <v>624895</v>
      </c>
    </row>
    <row r="28" spans="1:2" x14ac:dyDescent="0.25">
      <c r="A28">
        <v>633111</v>
      </c>
      <c r="B28">
        <v>571110</v>
      </c>
    </row>
    <row r="29" spans="1:2" x14ac:dyDescent="0.25">
      <c r="A29">
        <v>779744</v>
      </c>
      <c r="B29">
        <v>787635</v>
      </c>
    </row>
    <row r="30" spans="1:2" x14ac:dyDescent="0.25">
      <c r="A30">
        <v>616551</v>
      </c>
      <c r="B30">
        <v>894822</v>
      </c>
    </row>
    <row r="31" spans="1:2" x14ac:dyDescent="0.25">
      <c r="A31">
        <v>769141</v>
      </c>
      <c r="B31">
        <v>618359</v>
      </c>
    </row>
    <row r="32" spans="1:2" x14ac:dyDescent="0.25">
      <c r="A32">
        <v>776176</v>
      </c>
      <c r="B32">
        <v>866655</v>
      </c>
    </row>
    <row r="33" spans="1:2" x14ac:dyDescent="0.25">
      <c r="A33">
        <v>349883</v>
      </c>
      <c r="B33">
        <v>906002</v>
      </c>
    </row>
    <row r="34" spans="1:2" x14ac:dyDescent="0.25">
      <c r="A34">
        <v>541948</v>
      </c>
      <c r="B34">
        <v>917876</v>
      </c>
    </row>
    <row r="35" spans="1:2" x14ac:dyDescent="0.25">
      <c r="A35">
        <v>474836</v>
      </c>
      <c r="B35">
        <v>674206</v>
      </c>
    </row>
    <row r="36" spans="1:2" x14ac:dyDescent="0.25">
      <c r="A36">
        <v>437655</v>
      </c>
      <c r="B36">
        <v>699311</v>
      </c>
    </row>
    <row r="37" spans="1:2" x14ac:dyDescent="0.25">
      <c r="A37">
        <v>326494</v>
      </c>
      <c r="B37">
        <v>842819</v>
      </c>
    </row>
    <row r="38" spans="1:2" x14ac:dyDescent="0.25">
      <c r="A38">
        <v>363415</v>
      </c>
      <c r="B38">
        <v>698174</v>
      </c>
    </row>
    <row r="39" spans="1:2" x14ac:dyDescent="0.25">
      <c r="A39">
        <v>745126</v>
      </c>
      <c r="B39">
        <v>806544</v>
      </c>
    </row>
    <row r="40" spans="1:2" x14ac:dyDescent="0.25">
      <c r="A40">
        <v>407647</v>
      </c>
      <c r="B40">
        <v>535571</v>
      </c>
    </row>
    <row r="41" spans="1:2" x14ac:dyDescent="0.25">
      <c r="A41">
        <v>648786</v>
      </c>
      <c r="B41">
        <v>707624</v>
      </c>
    </row>
    <row r="42" spans="1:2" x14ac:dyDescent="0.25">
      <c r="A42">
        <v>783618</v>
      </c>
      <c r="B42">
        <v>500287</v>
      </c>
    </row>
    <row r="43" spans="1:2" x14ac:dyDescent="0.25">
      <c r="A43">
        <v>506359</v>
      </c>
      <c r="B43">
        <v>964817</v>
      </c>
    </row>
    <row r="44" spans="1:2" x14ac:dyDescent="0.25">
      <c r="A44">
        <v>628503</v>
      </c>
      <c r="B44">
        <v>951473</v>
      </c>
    </row>
    <row r="45" spans="1:2" x14ac:dyDescent="0.25">
      <c r="A45">
        <v>524187</v>
      </c>
      <c r="B45">
        <v>538948</v>
      </c>
    </row>
    <row r="46" spans="1:2" x14ac:dyDescent="0.25">
      <c r="A46">
        <v>534119</v>
      </c>
      <c r="B46">
        <v>859748</v>
      </c>
    </row>
    <row r="47" spans="1:2" x14ac:dyDescent="0.25">
      <c r="A47">
        <v>466327</v>
      </c>
      <c r="B47">
        <v>517039</v>
      </c>
    </row>
    <row r="48" spans="1:2" x14ac:dyDescent="0.25">
      <c r="A48">
        <v>612971</v>
      </c>
      <c r="B48">
        <v>700259</v>
      </c>
    </row>
    <row r="49" spans="1:2" x14ac:dyDescent="0.25">
      <c r="A49">
        <v>782973</v>
      </c>
      <c r="B49">
        <v>590009</v>
      </c>
    </row>
    <row r="50" spans="1:2" x14ac:dyDescent="0.25">
      <c r="A50">
        <v>459425</v>
      </c>
      <c r="B50">
        <v>750649</v>
      </c>
    </row>
    <row r="51" spans="1:2" x14ac:dyDescent="0.25">
      <c r="A51">
        <v>403945</v>
      </c>
      <c r="B51">
        <v>978785</v>
      </c>
    </row>
    <row r="52" spans="1:2" x14ac:dyDescent="0.25">
      <c r="A52">
        <v>486168</v>
      </c>
      <c r="B52">
        <v>956341</v>
      </c>
    </row>
    <row r="53" spans="1:2" x14ac:dyDescent="0.25">
      <c r="A53">
        <v>321657</v>
      </c>
      <c r="B53">
        <v>871904</v>
      </c>
    </row>
    <row r="54" spans="1:2" x14ac:dyDescent="0.25">
      <c r="A54">
        <v>374434</v>
      </c>
      <c r="B54">
        <v>852612</v>
      </c>
    </row>
    <row r="55" spans="1:2" x14ac:dyDescent="0.25">
      <c r="A55">
        <v>582139</v>
      </c>
      <c r="B55">
        <v>577638</v>
      </c>
    </row>
    <row r="56" spans="1:2" x14ac:dyDescent="0.25">
      <c r="A56">
        <v>768815</v>
      </c>
      <c r="B56">
        <v>773096</v>
      </c>
    </row>
    <row r="57" spans="1:2" x14ac:dyDescent="0.25">
      <c r="A57">
        <v>643128</v>
      </c>
      <c r="B57">
        <v>845797</v>
      </c>
    </row>
    <row r="58" spans="1:2" x14ac:dyDescent="0.25">
      <c r="A58">
        <v>462171</v>
      </c>
      <c r="B58">
        <v>877251</v>
      </c>
    </row>
    <row r="59" spans="1:2" x14ac:dyDescent="0.25">
      <c r="A59">
        <v>309253</v>
      </c>
      <c r="B59">
        <v>662347</v>
      </c>
    </row>
    <row r="60" spans="1:2" x14ac:dyDescent="0.25">
      <c r="A60">
        <v>491363</v>
      </c>
      <c r="B60">
        <v>548317</v>
      </c>
    </row>
    <row r="61" spans="1:2" x14ac:dyDescent="0.25">
      <c r="A61">
        <v>630941</v>
      </c>
      <c r="B61">
        <v>504875</v>
      </c>
    </row>
    <row r="62" spans="1:2" x14ac:dyDescent="0.25">
      <c r="A62">
        <v>668926</v>
      </c>
      <c r="B62">
        <v>894050</v>
      </c>
    </row>
    <row r="63" spans="1:2" x14ac:dyDescent="0.25">
      <c r="A63">
        <v>774052</v>
      </c>
      <c r="B63">
        <v>543878</v>
      </c>
    </row>
    <row r="64" spans="1:2" x14ac:dyDescent="0.25">
      <c r="A64">
        <v>671865</v>
      </c>
      <c r="B64">
        <v>999424</v>
      </c>
    </row>
    <row r="65" spans="1:2" x14ac:dyDescent="0.25">
      <c r="A65">
        <v>736134</v>
      </c>
      <c r="B65">
        <v>885708</v>
      </c>
    </row>
    <row r="66" spans="1:2" x14ac:dyDescent="0.25">
      <c r="A66">
        <v>543704</v>
      </c>
      <c r="B66">
        <v>544610</v>
      </c>
    </row>
    <row r="67" spans="1:2" x14ac:dyDescent="0.25">
      <c r="A67">
        <v>525894</v>
      </c>
      <c r="B67">
        <v>891525</v>
      </c>
    </row>
    <row r="68" spans="1:2" x14ac:dyDescent="0.25">
      <c r="A68">
        <v>353134</v>
      </c>
      <c r="B68">
        <v>533254</v>
      </c>
    </row>
    <row r="69" spans="1:2" x14ac:dyDescent="0.25">
      <c r="A69">
        <v>736654</v>
      </c>
      <c r="B69">
        <v>987206</v>
      </c>
    </row>
    <row r="70" spans="1:2" x14ac:dyDescent="0.25">
      <c r="A70">
        <v>483610</v>
      </c>
      <c r="B70">
        <v>575996</v>
      </c>
    </row>
    <row r="71" spans="1:2" x14ac:dyDescent="0.25">
      <c r="A71">
        <v>302113</v>
      </c>
      <c r="B71">
        <v>554748</v>
      </c>
    </row>
    <row r="72" spans="1:2" x14ac:dyDescent="0.25">
      <c r="A72">
        <v>752251</v>
      </c>
      <c r="B72">
        <v>702307</v>
      </c>
    </row>
    <row r="73" spans="1:2" x14ac:dyDescent="0.25">
      <c r="A73">
        <v>594954</v>
      </c>
      <c r="B73">
        <v>917020</v>
      </c>
    </row>
    <row r="74" spans="1:2" x14ac:dyDescent="0.25">
      <c r="A74">
        <v>413502</v>
      </c>
      <c r="B74">
        <v>995919</v>
      </c>
    </row>
    <row r="75" spans="1:2" x14ac:dyDescent="0.25">
      <c r="A75">
        <v>342725</v>
      </c>
      <c r="B75">
        <v>778021</v>
      </c>
    </row>
    <row r="76" spans="1:2" x14ac:dyDescent="0.25">
      <c r="A76">
        <v>572450</v>
      </c>
      <c r="B76">
        <v>965880</v>
      </c>
    </row>
    <row r="77" spans="1:2" x14ac:dyDescent="0.25">
      <c r="A77">
        <v>356416</v>
      </c>
      <c r="B77">
        <v>939519</v>
      </c>
    </row>
    <row r="78" spans="1:2" x14ac:dyDescent="0.25">
      <c r="A78">
        <v>447663</v>
      </c>
      <c r="B78">
        <v>774380</v>
      </c>
    </row>
    <row r="79" spans="1:2" x14ac:dyDescent="0.25">
      <c r="A79">
        <v>595844</v>
      </c>
      <c r="B79">
        <v>914446</v>
      </c>
    </row>
    <row r="80" spans="1:2" x14ac:dyDescent="0.25">
      <c r="A80">
        <v>352910</v>
      </c>
      <c r="B80">
        <v>731794</v>
      </c>
    </row>
    <row r="81" spans="1:2" x14ac:dyDescent="0.25">
      <c r="A81">
        <v>788934</v>
      </c>
      <c r="B81">
        <v>986288</v>
      </c>
    </row>
    <row r="82" spans="1:2" x14ac:dyDescent="0.25">
      <c r="A82">
        <v>392305</v>
      </c>
      <c r="B82">
        <v>893725</v>
      </c>
    </row>
    <row r="83" spans="1:2" x14ac:dyDescent="0.25">
      <c r="A83">
        <v>688955</v>
      </c>
      <c r="B83">
        <v>899787</v>
      </c>
    </row>
    <row r="84" spans="1:2" x14ac:dyDescent="0.25">
      <c r="A84">
        <v>535032</v>
      </c>
      <c r="B84">
        <v>827094</v>
      </c>
    </row>
    <row r="85" spans="1:2" x14ac:dyDescent="0.25">
      <c r="A85">
        <v>303368</v>
      </c>
      <c r="B85">
        <v>604462</v>
      </c>
    </row>
    <row r="86" spans="1:2" x14ac:dyDescent="0.25">
      <c r="A86">
        <v>607651</v>
      </c>
      <c r="B86">
        <v>628041</v>
      </c>
    </row>
    <row r="87" spans="1:2" x14ac:dyDescent="0.25">
      <c r="A87">
        <v>717687</v>
      </c>
      <c r="B87">
        <v>767815</v>
      </c>
    </row>
    <row r="88" spans="1:2" x14ac:dyDescent="0.25">
      <c r="A88">
        <v>788609</v>
      </c>
      <c r="B88">
        <v>505112</v>
      </c>
    </row>
    <row r="89" spans="1:2" x14ac:dyDescent="0.25">
      <c r="A89">
        <v>429198</v>
      </c>
      <c r="B89">
        <v>814900</v>
      </c>
    </row>
    <row r="90" spans="1:2" x14ac:dyDescent="0.25">
      <c r="A90">
        <v>457191</v>
      </c>
      <c r="B90">
        <v>932202</v>
      </c>
    </row>
    <row r="91" spans="1:2" x14ac:dyDescent="0.25">
      <c r="A91">
        <v>431233</v>
      </c>
      <c r="B91">
        <v>724412</v>
      </c>
    </row>
    <row r="92" spans="1:2" x14ac:dyDescent="0.25">
      <c r="A92">
        <v>530616</v>
      </c>
      <c r="B92">
        <v>913676</v>
      </c>
    </row>
    <row r="93" spans="1:2" x14ac:dyDescent="0.25">
      <c r="A93">
        <v>316990</v>
      </c>
      <c r="B93">
        <v>729209</v>
      </c>
    </row>
    <row r="94" spans="1:2" x14ac:dyDescent="0.25">
      <c r="A94">
        <v>492858</v>
      </c>
      <c r="B94">
        <v>757269</v>
      </c>
    </row>
    <row r="95" spans="1:2" x14ac:dyDescent="0.25">
      <c r="A95">
        <v>757345</v>
      </c>
      <c r="B95">
        <v>520418</v>
      </c>
    </row>
    <row r="96" spans="1:2" x14ac:dyDescent="0.25">
      <c r="A96">
        <v>489224</v>
      </c>
      <c r="B96">
        <v>660560</v>
      </c>
    </row>
    <row r="97" spans="1:2" x14ac:dyDescent="0.25">
      <c r="A97">
        <v>518905</v>
      </c>
      <c r="B97">
        <v>861016</v>
      </c>
    </row>
    <row r="98" spans="1:2" x14ac:dyDescent="0.25">
      <c r="A98">
        <v>340609</v>
      </c>
      <c r="B98">
        <v>986858</v>
      </c>
    </row>
    <row r="99" spans="1:2" x14ac:dyDescent="0.25">
      <c r="A99">
        <v>719969</v>
      </c>
      <c r="B99">
        <v>809670</v>
      </c>
    </row>
    <row r="100" spans="1:2" x14ac:dyDescent="0.25">
      <c r="A100">
        <v>608327</v>
      </c>
      <c r="B100">
        <v>841389</v>
      </c>
    </row>
    <row r="101" spans="1:2" x14ac:dyDescent="0.25">
      <c r="A101">
        <v>315304</v>
      </c>
      <c r="B101">
        <v>549538</v>
      </c>
    </row>
    <row r="102" spans="1:2" x14ac:dyDescent="0.25">
      <c r="A102">
        <v>427091</v>
      </c>
      <c r="B102">
        <v>635516</v>
      </c>
    </row>
    <row r="103" spans="1:2" x14ac:dyDescent="0.25">
      <c r="A103">
        <v>479862</v>
      </c>
      <c r="B103">
        <v>670857</v>
      </c>
    </row>
    <row r="104" spans="1:2" x14ac:dyDescent="0.25">
      <c r="A104">
        <v>407858</v>
      </c>
      <c r="B104">
        <v>725981</v>
      </c>
    </row>
    <row r="105" spans="1:2" x14ac:dyDescent="0.25">
      <c r="A105">
        <v>358115</v>
      </c>
      <c r="B105">
        <v>530335</v>
      </c>
    </row>
    <row r="106" spans="1:2" x14ac:dyDescent="0.25">
      <c r="A106">
        <v>566685</v>
      </c>
      <c r="B106">
        <v>908598</v>
      </c>
    </row>
    <row r="107" spans="1:2" x14ac:dyDescent="0.25">
      <c r="A107">
        <v>387811</v>
      </c>
      <c r="B107">
        <v>921808</v>
      </c>
    </row>
    <row r="108" spans="1:2" x14ac:dyDescent="0.25">
      <c r="A108">
        <v>338511</v>
      </c>
      <c r="B108">
        <v>984046</v>
      </c>
    </row>
    <row r="109" spans="1:2" x14ac:dyDescent="0.25">
      <c r="A109">
        <v>496795</v>
      </c>
      <c r="B109">
        <v>926063</v>
      </c>
    </row>
    <row r="110" spans="1:2" x14ac:dyDescent="0.25">
      <c r="A110">
        <v>425564</v>
      </c>
      <c r="B110">
        <v>582308</v>
      </c>
    </row>
    <row r="111" spans="1:2" x14ac:dyDescent="0.25">
      <c r="A111">
        <v>587109</v>
      </c>
      <c r="B111">
        <v>669874</v>
      </c>
    </row>
    <row r="112" spans="1:2" x14ac:dyDescent="0.25">
      <c r="A112">
        <v>648457</v>
      </c>
      <c r="B112">
        <v>509495</v>
      </c>
    </row>
    <row r="113" spans="1:2" x14ac:dyDescent="0.25">
      <c r="A113">
        <v>677965</v>
      </c>
      <c r="B113">
        <v>711859</v>
      </c>
    </row>
    <row r="114" spans="1:2" x14ac:dyDescent="0.25">
      <c r="A114">
        <v>738794</v>
      </c>
      <c r="B114">
        <v>787145</v>
      </c>
    </row>
    <row r="115" spans="1:2" x14ac:dyDescent="0.25">
      <c r="A115">
        <v>499350</v>
      </c>
      <c r="B115">
        <v>701301</v>
      </c>
    </row>
    <row r="116" spans="1:2" x14ac:dyDescent="0.25">
      <c r="A116">
        <v>579952</v>
      </c>
      <c r="B116">
        <v>729927</v>
      </c>
    </row>
    <row r="117" spans="1:2" x14ac:dyDescent="0.25">
      <c r="A117">
        <v>617984</v>
      </c>
      <c r="B117">
        <v>749560</v>
      </c>
    </row>
    <row r="118" spans="1:2" x14ac:dyDescent="0.25">
      <c r="A118">
        <v>352663</v>
      </c>
      <c r="B118">
        <v>897081</v>
      </c>
    </row>
    <row r="119" spans="1:2" x14ac:dyDescent="0.25">
      <c r="A119">
        <v>770192</v>
      </c>
      <c r="B119">
        <v>846312</v>
      </c>
    </row>
    <row r="120" spans="1:2" x14ac:dyDescent="0.25">
      <c r="A120">
        <v>740750</v>
      </c>
      <c r="B120">
        <v>816913</v>
      </c>
    </row>
    <row r="121" spans="1:2" x14ac:dyDescent="0.25">
      <c r="A121">
        <v>424203</v>
      </c>
      <c r="B121">
        <v>602252</v>
      </c>
    </row>
    <row r="122" spans="1:2" x14ac:dyDescent="0.25">
      <c r="A122">
        <v>512421</v>
      </c>
      <c r="B122">
        <v>521209</v>
      </c>
    </row>
    <row r="123" spans="1:2" x14ac:dyDescent="0.25">
      <c r="A123">
        <v>542599</v>
      </c>
      <c r="B123">
        <v>951260</v>
      </c>
    </row>
    <row r="124" spans="1:2" x14ac:dyDescent="0.25">
      <c r="A124">
        <v>586870</v>
      </c>
      <c r="B124">
        <v>862371</v>
      </c>
    </row>
    <row r="125" spans="1:2" x14ac:dyDescent="0.25">
      <c r="A125">
        <v>702967</v>
      </c>
      <c r="B125">
        <v>754850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6AB4-C79C-47B3-8F26-F22CF57A53A6}">
  <dimension ref="B1:G125"/>
  <sheetViews>
    <sheetView workbookViewId="0">
      <selection activeCell="G13" sqref="G13"/>
    </sheetView>
  </sheetViews>
  <sheetFormatPr baseColWidth="10" defaultColWidth="11.42578125" defaultRowHeight="15" x14ac:dyDescent="0.25"/>
  <cols>
    <col min="2" max="2" width="27.85546875" customWidth="1"/>
    <col min="3" max="3" width="24.5703125" customWidth="1"/>
    <col min="5" max="5" width="23.140625" customWidth="1"/>
    <col min="6" max="6" width="55" customWidth="1"/>
    <col min="7" max="7" width="13.7109375" customWidth="1"/>
  </cols>
  <sheetData>
    <row r="1" spans="2:7" x14ac:dyDescent="0.25">
      <c r="B1" s="7" t="s">
        <v>15</v>
      </c>
      <c r="C1" s="7" t="s">
        <v>16</v>
      </c>
    </row>
    <row r="2" spans="2:7" x14ac:dyDescent="0.25">
      <c r="B2">
        <v>349392</v>
      </c>
      <c r="C2">
        <v>874224</v>
      </c>
      <c r="E2" s="7" t="s">
        <v>17</v>
      </c>
      <c r="F2" s="9" t="s">
        <v>18</v>
      </c>
      <c r="G2" s="9" t="s">
        <v>19</v>
      </c>
    </row>
    <row r="3" spans="2:7" x14ac:dyDescent="0.25">
      <c r="B3">
        <v>607329</v>
      </c>
      <c r="C3">
        <v>921340</v>
      </c>
      <c r="E3" t="s">
        <v>20</v>
      </c>
      <c r="F3" s="10" t="s">
        <v>21</v>
      </c>
    </row>
    <row r="4" spans="2:7" x14ac:dyDescent="0.25">
      <c r="B4">
        <v>689558</v>
      </c>
      <c r="C4">
        <v>644266</v>
      </c>
      <c r="E4" t="s">
        <v>22</v>
      </c>
      <c r="F4" s="6" t="s">
        <v>23</v>
      </c>
    </row>
    <row r="5" spans="2:7" x14ac:dyDescent="0.25">
      <c r="B5">
        <v>787258</v>
      </c>
      <c r="C5">
        <v>530616</v>
      </c>
      <c r="E5" t="s">
        <v>24</v>
      </c>
      <c r="F5" t="s">
        <v>25</v>
      </c>
      <c r="G5">
        <f>MAX(B2:B125)-MIN(B2:B125)</f>
        <v>486821</v>
      </c>
    </row>
    <row r="6" spans="2:7" x14ac:dyDescent="0.25">
      <c r="B6">
        <v>647644</v>
      </c>
      <c r="C6">
        <v>767198</v>
      </c>
      <c r="E6" t="s">
        <v>26</v>
      </c>
      <c r="F6" t="s">
        <v>27</v>
      </c>
      <c r="G6">
        <f>_xlfn.PERCENTILE.EXC(B2:B125,0.75)-_xlfn.PERCENTILE.EXC(B2:B125,0.25)</f>
        <v>240267.5</v>
      </c>
    </row>
    <row r="7" spans="2:7" x14ac:dyDescent="0.25">
      <c r="B7">
        <v>613258</v>
      </c>
      <c r="C7">
        <v>817587</v>
      </c>
      <c r="E7" t="s">
        <v>28</v>
      </c>
      <c r="F7" s="6" t="s">
        <v>29</v>
      </c>
      <c r="G7">
        <f>AVEDEV(B2:B125)</f>
        <v>129098.0697190427</v>
      </c>
    </row>
    <row r="8" spans="2:7" x14ac:dyDescent="0.25">
      <c r="B8">
        <v>325289</v>
      </c>
      <c r="C8">
        <v>931986</v>
      </c>
      <c r="E8" t="s">
        <v>30</v>
      </c>
      <c r="F8" s="6" t="s">
        <v>31</v>
      </c>
      <c r="G8">
        <f>_xlfn.VAR.S(B2:B125)</f>
        <v>22561440999.990028</v>
      </c>
    </row>
    <row r="9" spans="2:7" x14ac:dyDescent="0.25">
      <c r="B9">
        <v>517569</v>
      </c>
      <c r="C9">
        <v>606990</v>
      </c>
      <c r="E9" t="s">
        <v>32</v>
      </c>
      <c r="F9" s="6" t="s">
        <v>33</v>
      </c>
      <c r="G9">
        <f>_xlfn.STDEV.S(B2:B125)</f>
        <v>150204.66370918724</v>
      </c>
    </row>
    <row r="10" spans="2:7" x14ac:dyDescent="0.25">
      <c r="B10">
        <v>326231</v>
      </c>
      <c r="C10">
        <v>907007</v>
      </c>
      <c r="E10" t="s">
        <v>34</v>
      </c>
      <c r="F10" s="6" t="s">
        <v>35</v>
      </c>
      <c r="G10">
        <f>AVERAGE(B2:B125)</f>
        <v>539313.16129032255</v>
      </c>
    </row>
    <row r="11" spans="2:7" x14ac:dyDescent="0.25">
      <c r="B11">
        <v>618845</v>
      </c>
      <c r="C11">
        <v>846421</v>
      </c>
      <c r="E11" t="s">
        <v>36</v>
      </c>
      <c r="F11" s="6" t="s">
        <v>35</v>
      </c>
      <c r="G11">
        <f>AVERAGE(C2:C125)</f>
        <v>763631.92741935479</v>
      </c>
    </row>
    <row r="12" spans="2:7" x14ac:dyDescent="0.25">
      <c r="B12">
        <v>521520</v>
      </c>
      <c r="C12">
        <v>681858</v>
      </c>
      <c r="E12" t="s">
        <v>37</v>
      </c>
      <c r="F12" s="6" t="s">
        <v>38</v>
      </c>
      <c r="G12">
        <f>_xlfn.STDEV.S(B2:B125)/AVERAGE(B2:B125)*100</f>
        <v>27.85110293800696</v>
      </c>
    </row>
    <row r="13" spans="2:7" x14ac:dyDescent="0.25">
      <c r="B13">
        <v>325512</v>
      </c>
      <c r="C13">
        <v>861683</v>
      </c>
      <c r="E13" s="8" t="s">
        <v>39</v>
      </c>
      <c r="F13" s="11" t="s">
        <v>38</v>
      </c>
      <c r="G13" s="8">
        <f>_xlfn.STDEV.S(C2:C125)/AVERAGE(C2:C125)*100</f>
        <v>19.749002241415994</v>
      </c>
    </row>
    <row r="14" spans="2:7" x14ac:dyDescent="0.25">
      <c r="B14">
        <v>410171</v>
      </c>
      <c r="C14">
        <v>533787</v>
      </c>
    </row>
    <row r="15" spans="2:7" x14ac:dyDescent="0.25">
      <c r="B15">
        <v>316704</v>
      </c>
      <c r="C15">
        <v>715950</v>
      </c>
    </row>
    <row r="16" spans="2:7" x14ac:dyDescent="0.25">
      <c r="B16">
        <v>692201</v>
      </c>
      <c r="C16">
        <v>949577</v>
      </c>
    </row>
    <row r="17" spans="2:3" x14ac:dyDescent="0.25">
      <c r="B17">
        <v>752093</v>
      </c>
      <c r="C17">
        <v>879176</v>
      </c>
    </row>
    <row r="18" spans="2:3" x14ac:dyDescent="0.25">
      <c r="B18">
        <v>707074</v>
      </c>
      <c r="C18">
        <v>861828</v>
      </c>
    </row>
    <row r="19" spans="2:3" x14ac:dyDescent="0.25">
      <c r="B19">
        <v>326601</v>
      </c>
      <c r="C19">
        <v>900156</v>
      </c>
    </row>
    <row r="20" spans="2:3" x14ac:dyDescent="0.25">
      <c r="B20">
        <v>625612</v>
      </c>
      <c r="C20">
        <v>735231</v>
      </c>
    </row>
    <row r="21" spans="2:3" x14ac:dyDescent="0.25">
      <c r="B21">
        <v>621305</v>
      </c>
      <c r="C21">
        <v>588423</v>
      </c>
    </row>
    <row r="22" spans="2:3" x14ac:dyDescent="0.25">
      <c r="B22">
        <v>781376</v>
      </c>
      <c r="C22">
        <v>877767</v>
      </c>
    </row>
    <row r="23" spans="2:3" x14ac:dyDescent="0.25">
      <c r="B23">
        <v>422730</v>
      </c>
      <c r="C23">
        <v>951396</v>
      </c>
    </row>
    <row r="24" spans="2:3" x14ac:dyDescent="0.25">
      <c r="B24">
        <v>636350</v>
      </c>
      <c r="C24">
        <v>569054</v>
      </c>
    </row>
    <row r="25" spans="2:3" x14ac:dyDescent="0.25">
      <c r="B25">
        <v>554661</v>
      </c>
      <c r="C25">
        <v>545297</v>
      </c>
    </row>
    <row r="26" spans="2:3" x14ac:dyDescent="0.25">
      <c r="B26">
        <v>325205</v>
      </c>
      <c r="C26">
        <v>877699</v>
      </c>
    </row>
    <row r="27" spans="2:3" x14ac:dyDescent="0.25">
      <c r="B27">
        <v>404656</v>
      </c>
      <c r="C27">
        <v>624895</v>
      </c>
    </row>
    <row r="28" spans="2:3" x14ac:dyDescent="0.25">
      <c r="B28">
        <v>633111</v>
      </c>
      <c r="C28">
        <v>571110</v>
      </c>
    </row>
    <row r="29" spans="2:3" x14ac:dyDescent="0.25">
      <c r="B29">
        <v>779744</v>
      </c>
      <c r="C29">
        <v>787635</v>
      </c>
    </row>
    <row r="30" spans="2:3" x14ac:dyDescent="0.25">
      <c r="B30">
        <v>616551</v>
      </c>
      <c r="C30">
        <v>894822</v>
      </c>
    </row>
    <row r="31" spans="2:3" x14ac:dyDescent="0.25">
      <c r="B31">
        <v>769141</v>
      </c>
      <c r="C31">
        <v>618359</v>
      </c>
    </row>
    <row r="32" spans="2:3" x14ac:dyDescent="0.25">
      <c r="B32">
        <v>776176</v>
      </c>
      <c r="C32">
        <v>866655</v>
      </c>
    </row>
    <row r="33" spans="2:3" x14ac:dyDescent="0.25">
      <c r="B33">
        <v>349883</v>
      </c>
      <c r="C33">
        <v>906002</v>
      </c>
    </row>
    <row r="34" spans="2:3" x14ac:dyDescent="0.25">
      <c r="B34">
        <v>541948</v>
      </c>
      <c r="C34">
        <v>917876</v>
      </c>
    </row>
    <row r="35" spans="2:3" x14ac:dyDescent="0.25">
      <c r="B35">
        <v>474836</v>
      </c>
      <c r="C35">
        <v>674206</v>
      </c>
    </row>
    <row r="36" spans="2:3" x14ac:dyDescent="0.25">
      <c r="B36">
        <v>437655</v>
      </c>
      <c r="C36">
        <v>699311</v>
      </c>
    </row>
    <row r="37" spans="2:3" x14ac:dyDescent="0.25">
      <c r="B37">
        <v>326494</v>
      </c>
      <c r="C37">
        <v>842819</v>
      </c>
    </row>
    <row r="38" spans="2:3" x14ac:dyDescent="0.25">
      <c r="B38">
        <v>363415</v>
      </c>
      <c r="C38">
        <v>698174</v>
      </c>
    </row>
    <row r="39" spans="2:3" x14ac:dyDescent="0.25">
      <c r="B39">
        <v>745126</v>
      </c>
      <c r="C39">
        <v>806544</v>
      </c>
    </row>
    <row r="40" spans="2:3" x14ac:dyDescent="0.25">
      <c r="B40">
        <v>407647</v>
      </c>
      <c r="C40">
        <v>535571</v>
      </c>
    </row>
    <row r="41" spans="2:3" x14ac:dyDescent="0.25">
      <c r="B41">
        <v>648786</v>
      </c>
      <c r="C41">
        <v>707624</v>
      </c>
    </row>
    <row r="42" spans="2:3" x14ac:dyDescent="0.25">
      <c r="B42">
        <v>783618</v>
      </c>
      <c r="C42">
        <v>500287</v>
      </c>
    </row>
    <row r="43" spans="2:3" x14ac:dyDescent="0.25">
      <c r="B43">
        <v>506359</v>
      </c>
      <c r="C43">
        <v>964817</v>
      </c>
    </row>
    <row r="44" spans="2:3" x14ac:dyDescent="0.25">
      <c r="B44">
        <v>628503</v>
      </c>
      <c r="C44">
        <v>951473</v>
      </c>
    </row>
    <row r="45" spans="2:3" x14ac:dyDescent="0.25">
      <c r="B45">
        <v>524187</v>
      </c>
      <c r="C45">
        <v>538948</v>
      </c>
    </row>
    <row r="46" spans="2:3" x14ac:dyDescent="0.25">
      <c r="B46">
        <v>534119</v>
      </c>
      <c r="C46">
        <v>859748</v>
      </c>
    </row>
    <row r="47" spans="2:3" x14ac:dyDescent="0.25">
      <c r="B47">
        <v>466327</v>
      </c>
      <c r="C47">
        <v>517039</v>
      </c>
    </row>
    <row r="48" spans="2:3" x14ac:dyDescent="0.25">
      <c r="B48">
        <v>612971</v>
      </c>
      <c r="C48">
        <v>700259</v>
      </c>
    </row>
    <row r="49" spans="2:3" x14ac:dyDescent="0.25">
      <c r="B49">
        <v>782973</v>
      </c>
      <c r="C49">
        <v>590009</v>
      </c>
    </row>
    <row r="50" spans="2:3" x14ac:dyDescent="0.25">
      <c r="B50">
        <v>459425</v>
      </c>
      <c r="C50">
        <v>750649</v>
      </c>
    </row>
    <row r="51" spans="2:3" x14ac:dyDescent="0.25">
      <c r="B51">
        <v>403945</v>
      </c>
      <c r="C51">
        <v>978785</v>
      </c>
    </row>
    <row r="52" spans="2:3" x14ac:dyDescent="0.25">
      <c r="B52">
        <v>486168</v>
      </c>
      <c r="C52">
        <v>956341</v>
      </c>
    </row>
    <row r="53" spans="2:3" x14ac:dyDescent="0.25">
      <c r="B53">
        <v>321657</v>
      </c>
      <c r="C53">
        <v>871904</v>
      </c>
    </row>
    <row r="54" spans="2:3" x14ac:dyDescent="0.25">
      <c r="B54">
        <v>374434</v>
      </c>
      <c r="C54">
        <v>852612</v>
      </c>
    </row>
    <row r="55" spans="2:3" x14ac:dyDescent="0.25">
      <c r="B55">
        <v>582139</v>
      </c>
      <c r="C55">
        <v>577638</v>
      </c>
    </row>
    <row r="56" spans="2:3" x14ac:dyDescent="0.25">
      <c r="B56">
        <v>768815</v>
      </c>
      <c r="C56">
        <v>773096</v>
      </c>
    </row>
    <row r="57" spans="2:3" x14ac:dyDescent="0.25">
      <c r="B57">
        <v>643128</v>
      </c>
      <c r="C57">
        <v>845797</v>
      </c>
    </row>
    <row r="58" spans="2:3" x14ac:dyDescent="0.25">
      <c r="B58">
        <v>462171</v>
      </c>
      <c r="C58">
        <v>877251</v>
      </c>
    </row>
    <row r="59" spans="2:3" x14ac:dyDescent="0.25">
      <c r="B59">
        <v>309253</v>
      </c>
      <c r="C59">
        <v>662347</v>
      </c>
    </row>
    <row r="60" spans="2:3" x14ac:dyDescent="0.25">
      <c r="B60">
        <v>491363</v>
      </c>
      <c r="C60">
        <v>548317</v>
      </c>
    </row>
    <row r="61" spans="2:3" x14ac:dyDescent="0.25">
      <c r="B61">
        <v>630941</v>
      </c>
      <c r="C61">
        <v>504875</v>
      </c>
    </row>
    <row r="62" spans="2:3" x14ac:dyDescent="0.25">
      <c r="B62">
        <v>668926</v>
      </c>
      <c r="C62">
        <v>894050</v>
      </c>
    </row>
    <row r="63" spans="2:3" x14ac:dyDescent="0.25">
      <c r="B63">
        <v>774052</v>
      </c>
      <c r="C63">
        <v>543878</v>
      </c>
    </row>
    <row r="64" spans="2:3" x14ac:dyDescent="0.25">
      <c r="B64">
        <v>671865</v>
      </c>
      <c r="C64">
        <v>999424</v>
      </c>
    </row>
    <row r="65" spans="2:3" x14ac:dyDescent="0.25">
      <c r="B65">
        <v>736134</v>
      </c>
      <c r="C65">
        <v>885708</v>
      </c>
    </row>
    <row r="66" spans="2:3" x14ac:dyDescent="0.25">
      <c r="B66">
        <v>543704</v>
      </c>
      <c r="C66">
        <v>544610</v>
      </c>
    </row>
    <row r="67" spans="2:3" x14ac:dyDescent="0.25">
      <c r="B67">
        <v>525894</v>
      </c>
      <c r="C67">
        <v>891525</v>
      </c>
    </row>
    <row r="68" spans="2:3" x14ac:dyDescent="0.25">
      <c r="B68">
        <v>353134</v>
      </c>
      <c r="C68">
        <v>533254</v>
      </c>
    </row>
    <row r="69" spans="2:3" x14ac:dyDescent="0.25">
      <c r="B69">
        <v>736654</v>
      </c>
      <c r="C69">
        <v>987206</v>
      </c>
    </row>
    <row r="70" spans="2:3" x14ac:dyDescent="0.25">
      <c r="B70">
        <v>483610</v>
      </c>
      <c r="C70">
        <v>575996</v>
      </c>
    </row>
    <row r="71" spans="2:3" x14ac:dyDescent="0.25">
      <c r="B71">
        <v>302113</v>
      </c>
      <c r="C71">
        <v>554748</v>
      </c>
    </row>
    <row r="72" spans="2:3" x14ac:dyDescent="0.25">
      <c r="B72">
        <v>752251</v>
      </c>
      <c r="C72">
        <v>702307</v>
      </c>
    </row>
    <row r="73" spans="2:3" x14ac:dyDescent="0.25">
      <c r="B73">
        <v>594954</v>
      </c>
      <c r="C73">
        <v>917020</v>
      </c>
    </row>
    <row r="74" spans="2:3" x14ac:dyDescent="0.25">
      <c r="B74">
        <v>413502</v>
      </c>
      <c r="C74">
        <v>995919</v>
      </c>
    </row>
    <row r="75" spans="2:3" x14ac:dyDescent="0.25">
      <c r="B75">
        <v>342725</v>
      </c>
      <c r="C75">
        <v>778021</v>
      </c>
    </row>
    <row r="76" spans="2:3" x14ac:dyDescent="0.25">
      <c r="B76">
        <v>572450</v>
      </c>
      <c r="C76">
        <v>965880</v>
      </c>
    </row>
    <row r="77" spans="2:3" x14ac:dyDescent="0.25">
      <c r="B77">
        <v>356416</v>
      </c>
      <c r="C77">
        <v>939519</v>
      </c>
    </row>
    <row r="78" spans="2:3" x14ac:dyDescent="0.25">
      <c r="B78">
        <v>447663</v>
      </c>
      <c r="C78">
        <v>774380</v>
      </c>
    </row>
    <row r="79" spans="2:3" x14ac:dyDescent="0.25">
      <c r="B79">
        <v>595844</v>
      </c>
      <c r="C79">
        <v>914446</v>
      </c>
    </row>
    <row r="80" spans="2:3" x14ac:dyDescent="0.25">
      <c r="B80">
        <v>352910</v>
      </c>
      <c r="C80">
        <v>731794</v>
      </c>
    </row>
    <row r="81" spans="2:3" x14ac:dyDescent="0.25">
      <c r="B81">
        <v>788934</v>
      </c>
      <c r="C81">
        <v>986288</v>
      </c>
    </row>
    <row r="82" spans="2:3" x14ac:dyDescent="0.25">
      <c r="B82">
        <v>392305</v>
      </c>
      <c r="C82">
        <v>893725</v>
      </c>
    </row>
    <row r="83" spans="2:3" x14ac:dyDescent="0.25">
      <c r="B83">
        <v>688955</v>
      </c>
      <c r="C83">
        <v>899787</v>
      </c>
    </row>
    <row r="84" spans="2:3" x14ac:dyDescent="0.25">
      <c r="B84">
        <v>535032</v>
      </c>
      <c r="C84">
        <v>827094</v>
      </c>
    </row>
    <row r="85" spans="2:3" x14ac:dyDescent="0.25">
      <c r="B85">
        <v>303368</v>
      </c>
      <c r="C85">
        <v>604462</v>
      </c>
    </row>
    <row r="86" spans="2:3" x14ac:dyDescent="0.25">
      <c r="B86">
        <v>607651</v>
      </c>
      <c r="C86">
        <v>628041</v>
      </c>
    </row>
    <row r="87" spans="2:3" x14ac:dyDescent="0.25">
      <c r="B87">
        <v>717687</v>
      </c>
      <c r="C87">
        <v>767815</v>
      </c>
    </row>
    <row r="88" spans="2:3" x14ac:dyDescent="0.25">
      <c r="B88">
        <v>788609</v>
      </c>
      <c r="C88">
        <v>505112</v>
      </c>
    </row>
    <row r="89" spans="2:3" x14ac:dyDescent="0.25">
      <c r="B89">
        <v>429198</v>
      </c>
      <c r="C89">
        <v>814900</v>
      </c>
    </row>
    <row r="90" spans="2:3" x14ac:dyDescent="0.25">
      <c r="B90">
        <v>457191</v>
      </c>
      <c r="C90">
        <v>932202</v>
      </c>
    </row>
    <row r="91" spans="2:3" x14ac:dyDescent="0.25">
      <c r="B91">
        <v>431233</v>
      </c>
      <c r="C91">
        <v>724412</v>
      </c>
    </row>
    <row r="92" spans="2:3" x14ac:dyDescent="0.25">
      <c r="B92">
        <v>530616</v>
      </c>
      <c r="C92">
        <v>913676</v>
      </c>
    </row>
    <row r="93" spans="2:3" x14ac:dyDescent="0.25">
      <c r="B93">
        <v>316990</v>
      </c>
      <c r="C93">
        <v>729209</v>
      </c>
    </row>
    <row r="94" spans="2:3" x14ac:dyDescent="0.25">
      <c r="B94">
        <v>492858</v>
      </c>
      <c r="C94">
        <v>757269</v>
      </c>
    </row>
    <row r="95" spans="2:3" x14ac:dyDescent="0.25">
      <c r="B95">
        <v>757345</v>
      </c>
      <c r="C95">
        <v>520418</v>
      </c>
    </row>
    <row r="96" spans="2:3" x14ac:dyDescent="0.25">
      <c r="B96">
        <v>489224</v>
      </c>
      <c r="C96">
        <v>660560</v>
      </c>
    </row>
    <row r="97" spans="2:3" x14ac:dyDescent="0.25">
      <c r="B97">
        <v>518905</v>
      </c>
      <c r="C97">
        <v>861016</v>
      </c>
    </row>
    <row r="98" spans="2:3" x14ac:dyDescent="0.25">
      <c r="B98">
        <v>340609</v>
      </c>
      <c r="C98">
        <v>986858</v>
      </c>
    </row>
    <row r="99" spans="2:3" x14ac:dyDescent="0.25">
      <c r="B99">
        <v>719969</v>
      </c>
      <c r="C99">
        <v>809670</v>
      </c>
    </row>
    <row r="100" spans="2:3" x14ac:dyDescent="0.25">
      <c r="B100">
        <v>608327</v>
      </c>
      <c r="C100">
        <v>841389</v>
      </c>
    </row>
    <row r="101" spans="2:3" x14ac:dyDescent="0.25">
      <c r="B101">
        <v>315304</v>
      </c>
      <c r="C101">
        <v>549538</v>
      </c>
    </row>
    <row r="102" spans="2:3" x14ac:dyDescent="0.25">
      <c r="B102">
        <v>427091</v>
      </c>
      <c r="C102">
        <v>635516</v>
      </c>
    </row>
    <row r="103" spans="2:3" x14ac:dyDescent="0.25">
      <c r="B103">
        <v>479862</v>
      </c>
      <c r="C103">
        <v>670857</v>
      </c>
    </row>
    <row r="104" spans="2:3" x14ac:dyDescent="0.25">
      <c r="B104">
        <v>407858</v>
      </c>
      <c r="C104">
        <v>725981</v>
      </c>
    </row>
    <row r="105" spans="2:3" x14ac:dyDescent="0.25">
      <c r="B105">
        <v>358115</v>
      </c>
      <c r="C105">
        <v>530335</v>
      </c>
    </row>
    <row r="106" spans="2:3" x14ac:dyDescent="0.25">
      <c r="B106">
        <v>566685</v>
      </c>
      <c r="C106">
        <v>908598</v>
      </c>
    </row>
    <row r="107" spans="2:3" x14ac:dyDescent="0.25">
      <c r="B107">
        <v>387811</v>
      </c>
      <c r="C107">
        <v>921808</v>
      </c>
    </row>
    <row r="108" spans="2:3" x14ac:dyDescent="0.25">
      <c r="B108">
        <v>338511</v>
      </c>
      <c r="C108">
        <v>984046</v>
      </c>
    </row>
    <row r="109" spans="2:3" x14ac:dyDescent="0.25">
      <c r="B109">
        <v>496795</v>
      </c>
      <c r="C109">
        <v>926063</v>
      </c>
    </row>
    <row r="110" spans="2:3" x14ac:dyDescent="0.25">
      <c r="B110">
        <v>425564</v>
      </c>
      <c r="C110">
        <v>582308</v>
      </c>
    </row>
    <row r="111" spans="2:3" x14ac:dyDescent="0.25">
      <c r="B111">
        <v>587109</v>
      </c>
      <c r="C111">
        <v>669874</v>
      </c>
    </row>
    <row r="112" spans="2:3" x14ac:dyDescent="0.25">
      <c r="B112">
        <v>648457</v>
      </c>
      <c r="C112">
        <v>509495</v>
      </c>
    </row>
    <row r="113" spans="2:3" x14ac:dyDescent="0.25">
      <c r="B113">
        <v>677965</v>
      </c>
      <c r="C113">
        <v>711859</v>
      </c>
    </row>
    <row r="114" spans="2:3" x14ac:dyDescent="0.25">
      <c r="B114">
        <v>738794</v>
      </c>
      <c r="C114">
        <v>787145</v>
      </c>
    </row>
    <row r="115" spans="2:3" x14ac:dyDescent="0.25">
      <c r="B115">
        <v>499350</v>
      </c>
      <c r="C115">
        <v>701301</v>
      </c>
    </row>
    <row r="116" spans="2:3" x14ac:dyDescent="0.25">
      <c r="B116">
        <v>579952</v>
      </c>
      <c r="C116">
        <v>729927</v>
      </c>
    </row>
    <row r="117" spans="2:3" x14ac:dyDescent="0.25">
      <c r="B117">
        <v>617984</v>
      </c>
      <c r="C117">
        <v>749560</v>
      </c>
    </row>
    <row r="118" spans="2:3" x14ac:dyDescent="0.25">
      <c r="B118">
        <v>352663</v>
      </c>
      <c r="C118">
        <v>897081</v>
      </c>
    </row>
    <row r="119" spans="2:3" x14ac:dyDescent="0.25">
      <c r="B119">
        <v>770192</v>
      </c>
      <c r="C119">
        <v>846312</v>
      </c>
    </row>
    <row r="120" spans="2:3" x14ac:dyDescent="0.25">
      <c r="B120">
        <v>740750</v>
      </c>
      <c r="C120">
        <v>816913</v>
      </c>
    </row>
    <row r="121" spans="2:3" x14ac:dyDescent="0.25">
      <c r="B121">
        <v>424203</v>
      </c>
      <c r="C121">
        <v>602252</v>
      </c>
    </row>
    <row r="122" spans="2:3" x14ac:dyDescent="0.25">
      <c r="B122">
        <v>512421</v>
      </c>
      <c r="C122">
        <v>521209</v>
      </c>
    </row>
    <row r="123" spans="2:3" x14ac:dyDescent="0.25">
      <c r="B123">
        <v>542599</v>
      </c>
      <c r="C123">
        <v>951260</v>
      </c>
    </row>
    <row r="124" spans="2:3" x14ac:dyDescent="0.25">
      <c r="B124">
        <v>586870</v>
      </c>
      <c r="C124">
        <v>862371</v>
      </c>
    </row>
    <row r="125" spans="2:3" x14ac:dyDescent="0.25">
      <c r="B125">
        <v>702967</v>
      </c>
      <c r="C125">
        <v>754850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Funciones ABS y CUADRA</vt:lpstr>
      <vt:lpstr>Cálculo de DM y DE</vt:lpstr>
      <vt:lpstr>Cálculo de DM y DE_corrección</vt:lpstr>
      <vt:lpstr>MdV en excel</vt:lpstr>
      <vt:lpstr>Corrección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 Mora</cp:lastModifiedBy>
  <dcterms:created xsi:type="dcterms:W3CDTF">2015-06-05T18:19:34Z</dcterms:created>
  <dcterms:modified xsi:type="dcterms:W3CDTF">2023-09-15T00:10:57Z</dcterms:modified>
</cp:coreProperties>
</file>