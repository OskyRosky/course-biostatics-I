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ursos\UCIMED Estadística\Prácticas en Excel- Word\"/>
    </mc:Choice>
  </mc:AlternateContent>
  <xr:revisionPtr revIDLastSave="0" documentId="13_ncr:1_{F2FC1D77-0834-4522-9BE2-DBCE0EB63A9F}" xr6:coauthVersionLast="47" xr6:coauthVersionMax="47" xr10:uidLastSave="{00000000-0000-0000-0000-000000000000}"/>
  <bookViews>
    <workbookView xWindow="58590" yWindow="-120" windowWidth="27930" windowHeight="16440" activeTab="2" xr2:uid="{AB13D347-ADD8-4BEA-905E-7094DCBC50D5}"/>
  </bookViews>
  <sheets>
    <sheet name="Aplicación" sheetId="2" r:id="rId1"/>
    <sheet name="Corrección" sheetId="1" r:id="rId2"/>
    <sheet name="Distribución de frecuenc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2" l="1"/>
  <c r="G24" i="2"/>
  <c r="F13" i="2"/>
  <c r="F11" i="2"/>
  <c r="E6" i="3" l="1"/>
  <c r="E10" i="3"/>
  <c r="D5" i="3"/>
  <c r="E5" i="3" s="1"/>
  <c r="D6" i="3"/>
  <c r="D7" i="3"/>
  <c r="E7" i="3" s="1"/>
  <c r="D9" i="3"/>
  <c r="E9" i="3" s="1"/>
  <c r="D10" i="3"/>
  <c r="D3" i="3"/>
  <c r="E3" i="3" s="1"/>
  <c r="C11" i="3"/>
  <c r="D4" i="3" s="1"/>
  <c r="E4" i="3" s="1"/>
  <c r="D8" i="3" l="1"/>
  <c r="E8" i="3" s="1"/>
  <c r="F32" i="1"/>
  <c r="F31" i="1"/>
  <c r="F29" i="1"/>
  <c r="C32" i="1"/>
  <c r="F25" i="1"/>
  <c r="G25" i="1" s="1"/>
  <c r="F24" i="1"/>
  <c r="G24" i="1" s="1"/>
  <c r="F15" i="1"/>
  <c r="F14" i="1"/>
  <c r="F13" i="1"/>
  <c r="F11" i="1"/>
</calcChain>
</file>

<file path=xl/sharedStrings.xml><?xml version="1.0" encoding="utf-8"?>
<sst xmlns="http://schemas.openxmlformats.org/spreadsheetml/2006/main" count="87" uniqueCount="40">
  <si>
    <t xml:space="preserve">Razón </t>
  </si>
  <si>
    <t>Propoción</t>
  </si>
  <si>
    <t>Porcentaje</t>
  </si>
  <si>
    <t>Un centro de salud</t>
  </si>
  <si>
    <t>N=10 000</t>
  </si>
  <si>
    <t>SJ= 3500</t>
  </si>
  <si>
    <t>A= 2500</t>
  </si>
  <si>
    <t>C = 1500</t>
  </si>
  <si>
    <t>H=1000</t>
  </si>
  <si>
    <t>P=500</t>
  </si>
  <si>
    <t>G=500</t>
  </si>
  <si>
    <t>L=500</t>
  </si>
  <si>
    <t>Razón M/H</t>
  </si>
  <si>
    <t>Porcentaje SJ</t>
  </si>
  <si>
    <t>Porcentaje C</t>
  </si>
  <si>
    <t>Porcentaje L</t>
  </si>
  <si>
    <t>Mujeres = 8000</t>
  </si>
  <si>
    <t>Hombre = 2000</t>
  </si>
  <si>
    <t>Mujeres = 6842</t>
  </si>
  <si>
    <t>Hombre = 3158</t>
  </si>
  <si>
    <t>SJ= 8500</t>
  </si>
  <si>
    <t>A= 7500</t>
  </si>
  <si>
    <t>L=50</t>
  </si>
  <si>
    <t>Razón H/M</t>
  </si>
  <si>
    <t>Total</t>
  </si>
  <si>
    <t>*1000</t>
  </si>
  <si>
    <t>*10 000</t>
  </si>
  <si>
    <t>*100</t>
  </si>
  <si>
    <t>"2-3"</t>
  </si>
  <si>
    <t>Fórmulas</t>
  </si>
  <si>
    <t>Factor de ampliación</t>
  </si>
  <si>
    <t>Aplicación  de los números relativos</t>
  </si>
  <si>
    <t xml:space="preserve">Días </t>
  </si>
  <si>
    <t>Frecuencia</t>
  </si>
  <si>
    <t>Proporción</t>
  </si>
  <si>
    <t>Porcentaje (%)</t>
  </si>
  <si>
    <t>Total=19550</t>
  </si>
  <si>
    <t>Obtenga</t>
  </si>
  <si>
    <t xml:space="preserve">Tasa </t>
  </si>
  <si>
    <t>Total=10 000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</si>
</sst>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'Distribución de frecuencias'!$C$2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'Distribución de frecuencias'!$B$3:$B$10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'Distribución de frecuencias'!$C$3:$C$10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2-4115-ACA5-0C4D1FDD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822751"/>
        <c:axId val="988823167"/>
      </c:barChart>
      <c:catAx>
        <c:axId val="9888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23167"/>
        <c:crosses val="autoZero"/>
        <c:auto val="1"/>
        <c:lblAlgn val="ctr"/>
        <c:lblOffset val="100"/>
        <c:noMultiLvlLbl val="0"/>
      </c:catAx>
      <c:valAx>
        <c:axId val="9888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2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'Distribución de frecuencias'!$E$2</c:f>
              <c:strCache>
                <c:ptCount val="1"/>
                <c:pt idx="0">
                  <c:v>Porcentaje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'Distribución de frecuencias'!$B$3:$B$10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'Distribución de frecuencias'!$E$3:$E$10</c:f>
              <c:numCache>
                <c:formatCode>0.0</c:formatCode>
                <c:ptCount val="8"/>
                <c:pt idx="0">
                  <c:v>7.1428571428571423</c:v>
                </c:pt>
                <c:pt idx="1">
                  <c:v>11.904761904761903</c:v>
                </c:pt>
                <c:pt idx="2">
                  <c:v>16.666666666666664</c:v>
                </c:pt>
                <c:pt idx="3">
                  <c:v>19.047619047619047</c:v>
                </c:pt>
                <c:pt idx="4">
                  <c:v>21.428571428571427</c:v>
                </c:pt>
                <c:pt idx="5">
                  <c:v>14.285714285714285</c:v>
                </c:pt>
                <c:pt idx="6">
                  <c:v>7.1428571428571423</c:v>
                </c:pt>
                <c:pt idx="7">
                  <c:v>2.3809523809523809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0-423E-9B5E-4A74C39D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820671"/>
        <c:axId val="988821919"/>
      </c:barChart>
      <c:catAx>
        <c:axId val="9888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21919"/>
        <c:crosses val="autoZero"/>
        <c:auto val="1"/>
        <c:lblAlgn val="ctr"/>
        <c:lblOffset val="100"/>
        <c:noMultiLvlLbl val="0"/>
      </c:catAx>
      <c:valAx>
        <c:axId val="98882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645841</xdr:colOff>
      <xdr:row>3</xdr:row>
      <xdr:rowOff>106865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1AECEC8-966D-4395-9F63-4A3E18C88D63}"/>
                </a:ext>
              </a:extLst>
            </xdr:cNvPr>
            <xdr:cNvSpPr txBox="1"/>
          </xdr:nvSpPr>
          <xdr:spPr>
            <a:xfrm>
              <a:off x="645841" y="67836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𝑅𝑎𝑧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1AECEC8-966D-4395-9F63-4A3E18C88D63}"/>
                </a:ext>
              </a:extLst>
            </xdr:cNvPr>
            <xdr:cNvSpPr txBox="1"/>
          </xdr:nvSpPr>
          <xdr:spPr>
            <a:xfrm>
              <a:off x="645841" y="67836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1100" b="0" i="0">
                  <a:latin typeface="Cambria Math" panose="02040503050406030204" pitchFamily="18" charset="0"/>
                </a:rPr>
                <a:t>𝑅𝑎𝑧ó𝑛=𝐴/𝐵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836341</xdr:colOff>
      <xdr:row>5</xdr:row>
      <xdr:rowOff>120805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2607533-E49A-40D1-9A2D-218DA78E8881}"/>
                </a:ext>
              </a:extLst>
            </xdr:cNvPr>
            <xdr:cNvSpPr txBox="1"/>
          </xdr:nvSpPr>
          <xdr:spPr>
            <a:xfrm>
              <a:off x="836341" y="107330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2607533-E49A-40D1-9A2D-218DA78E8881}"/>
                </a:ext>
              </a:extLst>
            </xdr:cNvPr>
            <xdr:cNvSpPr txBox="1"/>
          </xdr:nvSpPr>
          <xdr:spPr>
            <a:xfrm>
              <a:off x="836341" y="107330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1100" b="0" i="0">
                  <a:latin typeface="Cambria Math" panose="02040503050406030204" pitchFamily="18" charset="0"/>
                </a:rPr>
                <a:t>𝑃𝑟𝑜𝑝𝑜𝑐𝑖ó𝑛=𝐴/(𝐴+𝐵+𝐶+𝐷)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762000</xdr:colOff>
      <xdr:row>8</xdr:row>
      <xdr:rowOff>4647</xdr:rowOff>
    </xdr:from>
    <xdr:ext cx="23173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AE9601-6C11-4846-B9E3-8467500CC671}"/>
                </a:ext>
              </a:extLst>
            </xdr:cNvPr>
            <xdr:cNvSpPr txBox="1"/>
          </xdr:nvSpPr>
          <xdr:spPr>
            <a:xfrm>
              <a:off x="762000" y="1528647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𝑃𝑜𝑟𝑐𝑒𝑛𝑡𝑎𝑗𝑒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𝑃𝑟𝑜𝑝𝑜𝑟𝑐𝑖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AE9601-6C11-4846-B9E3-8467500CC671}"/>
                </a:ext>
              </a:extLst>
            </xdr:cNvPr>
            <xdr:cNvSpPr txBox="1"/>
          </xdr:nvSpPr>
          <xdr:spPr>
            <a:xfrm>
              <a:off x="762000" y="1528647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1100" b="0" i="0">
                  <a:latin typeface="Cambria Math" panose="02040503050406030204" pitchFamily="18" charset="0"/>
                </a:rPr>
                <a:t>𝑃𝑜𝑟𝑐𝑒𝑛𝑡𝑎𝑗𝑒=𝑃𝑟𝑜𝑝𝑜𝑟𝑐𝑖ó𝑛∗100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557293</xdr:colOff>
      <xdr:row>3</xdr:row>
      <xdr:rowOff>178391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BBF7C5A-6BD1-487E-8A7A-28773C7CE6FB}"/>
                </a:ext>
              </a:extLst>
            </xdr:cNvPr>
            <xdr:cNvSpPr txBox="1"/>
          </xdr:nvSpPr>
          <xdr:spPr>
            <a:xfrm>
              <a:off x="557293" y="178391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𝑅𝑎𝑧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BBF7C5A-6BD1-487E-8A7A-28773C7CE6FB}"/>
                </a:ext>
              </a:extLst>
            </xdr:cNvPr>
            <xdr:cNvSpPr txBox="1"/>
          </xdr:nvSpPr>
          <xdr:spPr>
            <a:xfrm>
              <a:off x="557293" y="178391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1100" b="0" i="0">
                  <a:latin typeface="Cambria Math" panose="02040503050406030204" pitchFamily="18" charset="0"/>
                </a:rPr>
                <a:t>𝑅𝑎𝑧ó𝑛=𝐴/𝐵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19696</xdr:colOff>
      <xdr:row>5</xdr:row>
      <xdr:rowOff>100415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4DCB81F-1A72-49D6-9C87-D137B50B5313}"/>
                </a:ext>
              </a:extLst>
            </xdr:cNvPr>
            <xdr:cNvSpPr txBox="1"/>
          </xdr:nvSpPr>
          <xdr:spPr>
            <a:xfrm>
              <a:off x="781696" y="48141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4DCB81F-1A72-49D6-9C87-D137B50B5313}"/>
                </a:ext>
              </a:extLst>
            </xdr:cNvPr>
            <xdr:cNvSpPr txBox="1"/>
          </xdr:nvSpPr>
          <xdr:spPr>
            <a:xfrm>
              <a:off x="781696" y="48141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R" sz="1100" b="0" i="0">
                  <a:latin typeface="Cambria Math" panose="02040503050406030204" pitchFamily="18" charset="0"/>
                </a:rPr>
                <a:t>𝑃𝑟𝑜𝑝𝑜𝑐𝑖ó𝑛=𝐴/(𝐴+𝐵+𝐶+𝐷)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62316</xdr:colOff>
      <xdr:row>8</xdr:row>
      <xdr:rowOff>59086</xdr:rowOff>
    </xdr:from>
    <xdr:ext cx="23173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A6739B-D2D4-47B9-BB79-16E01808CB1C}"/>
                </a:ext>
              </a:extLst>
            </xdr:cNvPr>
            <xdr:cNvSpPr txBox="1"/>
          </xdr:nvSpPr>
          <xdr:spPr>
            <a:xfrm>
              <a:off x="824316" y="1011586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𝑃𝑜𝑟𝑐𝑒𝑛𝑡𝑎𝑗𝑒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𝑃𝑟𝑜𝑝𝑜𝑟𝑐𝑖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A6739B-D2D4-47B9-BB79-16E01808CB1C}"/>
                </a:ext>
              </a:extLst>
            </xdr:cNvPr>
            <xdr:cNvSpPr txBox="1"/>
          </xdr:nvSpPr>
          <xdr:spPr>
            <a:xfrm>
              <a:off x="824316" y="1011586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R" sz="1100" b="0" i="0">
                  <a:latin typeface="Cambria Math" panose="02040503050406030204" pitchFamily="18" charset="0"/>
                </a:rPr>
                <a:t>𝑃𝑜𝑟𝑐𝑒𝑛𝑡𝑎𝑗𝑒=𝑃𝑟𝑜𝑝𝑜𝑟𝑐𝑖ó𝑛∗100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104774</xdr:rowOff>
    </xdr:from>
    <xdr:to>
      <xdr:col>11</xdr:col>
      <xdr:colOff>133350</xdr:colOff>
      <xdr:row>9</xdr:row>
      <xdr:rowOff>152400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A4896BD-A20E-4602-BA40-5B2260F4D304}"/>
            </a:ext>
          </a:extLst>
        </xdr:cNvPr>
        <xdr:cNvSpPr/>
      </xdr:nvSpPr>
      <xdr:spPr>
        <a:xfrm>
          <a:off x="5172075" y="295274"/>
          <a:ext cx="3810000" cy="15716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Pasos en la construcción</a:t>
          </a:r>
          <a:r>
            <a:rPr lang="en-US" sz="1100" baseline="0"/>
            <a:t> de una distribución de frecuencias: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1. Seleccionar los datos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2.Ir Insertar --&gt; Gráficocs --&gt; Todos los gráficos --&gt; columnas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3. Selecionar el que más coviene</a:t>
          </a:r>
          <a:br>
            <a:rPr lang="en-US" sz="1100" baseline="0"/>
          </a:br>
          <a:r>
            <a:rPr lang="en-US" sz="1100" baseline="0"/>
            <a:t>                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57150</xdr:rowOff>
    </xdr:from>
    <xdr:to>
      <xdr:col>4</xdr:col>
      <xdr:colOff>1181100</xdr:colOff>
      <xdr:row>14</xdr:row>
      <xdr:rowOff>142875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4E95B1B-1A3C-4C06-A2E9-32DB5EBEF90E}"/>
            </a:ext>
          </a:extLst>
        </xdr:cNvPr>
        <xdr:cNvSpPr/>
      </xdr:nvSpPr>
      <xdr:spPr>
        <a:xfrm>
          <a:off x="714375" y="2343150"/>
          <a:ext cx="3514725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Distribución</a:t>
          </a:r>
          <a:r>
            <a:rPr lang="en-US" sz="1100" baseline="0"/>
            <a:t> de frecuencia</a:t>
          </a:r>
          <a:endParaRPr lang="en-US" sz="1100"/>
        </a:p>
      </xdr:txBody>
    </xdr:sp>
    <xdr:clientData/>
  </xdr:twoCellAnchor>
  <xdr:twoCellAnchor>
    <xdr:from>
      <xdr:col>7</xdr:col>
      <xdr:colOff>638175</xdr:colOff>
      <xdr:row>12</xdr:row>
      <xdr:rowOff>57150</xdr:rowOff>
    </xdr:from>
    <xdr:to>
      <xdr:col>12</xdr:col>
      <xdr:colOff>342900</xdr:colOff>
      <xdr:row>14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78A77D4-555E-4212-8724-F15A8ED74EAB}"/>
            </a:ext>
          </a:extLst>
        </xdr:cNvPr>
        <xdr:cNvSpPr/>
      </xdr:nvSpPr>
      <xdr:spPr>
        <a:xfrm>
          <a:off x="6438900" y="2343150"/>
          <a:ext cx="3514725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Distribución</a:t>
          </a:r>
          <a:r>
            <a:rPr lang="en-US" sz="1100" baseline="0"/>
            <a:t> del porcentaje</a:t>
          </a:r>
          <a:endParaRPr lang="en-US" sz="1100"/>
        </a:p>
      </xdr:txBody>
    </xdr:sp>
    <xdr:clientData/>
  </xdr:twoCellAnchor>
  <xdr:twoCellAnchor>
    <xdr:from>
      <xdr:col>0</xdr:col>
      <xdr:colOff>371475</xdr:colOff>
      <xdr:row>17</xdr:row>
      <xdr:rowOff>19049</xdr:rowOff>
    </xdr:from>
    <xdr:to>
      <xdr:col>6</xdr:col>
      <xdr:colOff>666750</xdr:colOff>
      <xdr:row>36</xdr:row>
      <xdr:rowOff>180974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A39C354-DBDB-CBEF-CF91-002360FDC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714374</xdr:colOff>
      <xdr:row>17</xdr:row>
      <xdr:rowOff>28574</xdr:rowOff>
    </xdr:from>
    <xdr:to>
      <xdr:col>15</xdr:col>
      <xdr:colOff>476249</xdr:colOff>
      <xdr:row>36</xdr:row>
      <xdr:rowOff>76199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E8609F-3757-C807-2EBB-1BA61C453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06F5-620E-4A6F-8A8B-D4FA34C14409}">
  <dimension ref="A1:G30"/>
  <sheetViews>
    <sheetView topLeftCell="A16" zoomScale="175" zoomScaleNormal="175" workbookViewId="0">
      <selection activeCell="G24" sqref="G24"/>
    </sheetView>
  </sheetViews>
  <sheetFormatPr baseColWidth="10" defaultRowHeight="15" x14ac:dyDescent="0.25"/>
  <cols>
    <col min="1" max="1" width="15" customWidth="1"/>
    <col min="5" max="5" width="25.7109375" customWidth="1"/>
    <col min="6" max="6" width="16.5703125" customWidth="1"/>
  </cols>
  <sheetData>
    <row r="1" spans="1:6" x14ac:dyDescent="0.25">
      <c r="A1" s="16" t="s">
        <v>31</v>
      </c>
      <c r="B1" s="16"/>
      <c r="C1" s="16"/>
      <c r="D1" s="16"/>
      <c r="E1" s="16"/>
      <c r="F1" s="16"/>
    </row>
    <row r="3" spans="1:6" x14ac:dyDescent="0.25">
      <c r="B3" s="14" t="s">
        <v>29</v>
      </c>
      <c r="C3" s="14"/>
    </row>
    <row r="5" spans="1:6" x14ac:dyDescent="0.25">
      <c r="A5" t="s">
        <v>0</v>
      </c>
    </row>
    <row r="7" spans="1:6" x14ac:dyDescent="0.25">
      <c r="A7" t="s">
        <v>1</v>
      </c>
    </row>
    <row r="9" spans="1:6" x14ac:dyDescent="0.25">
      <c r="A9" t="s">
        <v>2</v>
      </c>
    </row>
    <row r="11" spans="1:6" x14ac:dyDescent="0.25">
      <c r="A11" t="s">
        <v>3</v>
      </c>
      <c r="E11" t="s">
        <v>12</v>
      </c>
      <c r="F11">
        <f>8000/2000</f>
        <v>4</v>
      </c>
    </row>
    <row r="12" spans="1:6" x14ac:dyDescent="0.25">
      <c r="A12" t="s">
        <v>4</v>
      </c>
      <c r="C12" t="s">
        <v>5</v>
      </c>
    </row>
    <row r="13" spans="1:6" x14ac:dyDescent="0.25">
      <c r="A13" t="s">
        <v>16</v>
      </c>
      <c r="C13" t="s">
        <v>6</v>
      </c>
      <c r="E13" t="s">
        <v>13</v>
      </c>
      <c r="F13" s="19">
        <f>3500/10000*100</f>
        <v>35</v>
      </c>
    </row>
    <row r="14" spans="1:6" x14ac:dyDescent="0.25">
      <c r="A14" t="s">
        <v>17</v>
      </c>
      <c r="C14" t="s">
        <v>7</v>
      </c>
      <c r="E14" t="s">
        <v>14</v>
      </c>
      <c r="F14" s="1"/>
    </row>
    <row r="15" spans="1:6" x14ac:dyDescent="0.25">
      <c r="C15" t="s">
        <v>8</v>
      </c>
      <c r="E15" t="s">
        <v>15</v>
      </c>
      <c r="F15" s="1"/>
    </row>
    <row r="16" spans="1:6" x14ac:dyDescent="0.25">
      <c r="C16" t="s">
        <v>9</v>
      </c>
    </row>
    <row r="17" spans="1:7" x14ac:dyDescent="0.25">
      <c r="C17" t="s">
        <v>10</v>
      </c>
    </row>
    <row r="18" spans="1:7" x14ac:dyDescent="0.25">
      <c r="C18" t="s">
        <v>11</v>
      </c>
    </row>
    <row r="20" spans="1:7" x14ac:dyDescent="0.25">
      <c r="A20" s="15" t="s">
        <v>30</v>
      </c>
      <c r="B20" s="15"/>
      <c r="C20" s="15"/>
      <c r="D20" s="15"/>
      <c r="E20" s="15"/>
      <c r="F20" s="15"/>
    </row>
    <row r="22" spans="1:7" x14ac:dyDescent="0.25">
      <c r="A22" s="12" t="s">
        <v>38</v>
      </c>
      <c r="B22" s="11"/>
      <c r="D22" s="13" t="s">
        <v>34</v>
      </c>
      <c r="F22" s="13" t="s">
        <v>37</v>
      </c>
    </row>
    <row r="23" spans="1:7" x14ac:dyDescent="0.25">
      <c r="A23" t="s">
        <v>3</v>
      </c>
      <c r="D23" t="s">
        <v>20</v>
      </c>
      <c r="G23" s="3"/>
    </row>
    <row r="24" spans="1:7" x14ac:dyDescent="0.25">
      <c r="D24" t="s">
        <v>21</v>
      </c>
      <c r="F24" t="s">
        <v>12</v>
      </c>
      <c r="G24" s="2">
        <f>6842/3158</f>
        <v>2.1665611146295123</v>
      </c>
    </row>
    <row r="25" spans="1:7" x14ac:dyDescent="0.25">
      <c r="A25" t="s">
        <v>18</v>
      </c>
      <c r="D25" t="s">
        <v>7</v>
      </c>
      <c r="F25" t="s">
        <v>23</v>
      </c>
      <c r="G25" s="2"/>
    </row>
    <row r="26" spans="1:7" x14ac:dyDescent="0.25">
      <c r="A26" t="s">
        <v>19</v>
      </c>
      <c r="D26" t="s">
        <v>8</v>
      </c>
    </row>
    <row r="27" spans="1:7" x14ac:dyDescent="0.25">
      <c r="A27" t="s">
        <v>39</v>
      </c>
      <c r="D27" t="s">
        <v>9</v>
      </c>
    </row>
    <row r="28" spans="1:7" x14ac:dyDescent="0.25">
      <c r="D28" t="s">
        <v>10</v>
      </c>
      <c r="F28" t="s">
        <v>15</v>
      </c>
      <c r="G28" s="2">
        <f>50/19550*100</f>
        <v>0.25575447570332482</v>
      </c>
    </row>
    <row r="29" spans="1:7" x14ac:dyDescent="0.25">
      <c r="D29" t="s">
        <v>22</v>
      </c>
      <c r="G29" s="3"/>
    </row>
    <row r="30" spans="1:7" x14ac:dyDescent="0.25">
      <c r="D30" t="s">
        <v>36</v>
      </c>
    </row>
  </sheetData>
  <mergeCells count="3">
    <mergeCell ref="B3:C3"/>
    <mergeCell ref="A20:F20"/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4ACE-A38D-4A22-BF0D-0F38EC51E895}">
  <dimension ref="A1:G32"/>
  <sheetViews>
    <sheetView zoomScale="130" zoomScaleNormal="130" workbookViewId="0">
      <selection activeCell="E17" sqref="E17"/>
    </sheetView>
  </sheetViews>
  <sheetFormatPr baseColWidth="10" defaultRowHeight="15" x14ac:dyDescent="0.25"/>
  <cols>
    <col min="5" max="5" width="25.7109375" customWidth="1"/>
    <col min="6" max="6" width="16.5703125" customWidth="1"/>
  </cols>
  <sheetData>
    <row r="1" spans="1:6" x14ac:dyDescent="0.25">
      <c r="A1" s="16" t="s">
        <v>31</v>
      </c>
      <c r="B1" s="16"/>
      <c r="C1" s="16"/>
      <c r="D1" s="16"/>
      <c r="E1" s="16"/>
      <c r="F1" s="16"/>
    </row>
    <row r="2" spans="1:6" ht="15.75" thickBot="1" x14ac:dyDescent="0.3"/>
    <row r="3" spans="1:6" ht="15.75" thickBot="1" x14ac:dyDescent="0.3">
      <c r="B3" s="17" t="s">
        <v>29</v>
      </c>
      <c r="C3" s="18"/>
    </row>
    <row r="5" spans="1:6" x14ac:dyDescent="0.25">
      <c r="A5" t="s">
        <v>0</v>
      </c>
    </row>
    <row r="7" spans="1:6" x14ac:dyDescent="0.25">
      <c r="A7" t="s">
        <v>1</v>
      </c>
    </row>
    <row r="9" spans="1:6" x14ac:dyDescent="0.25">
      <c r="A9" t="s">
        <v>2</v>
      </c>
    </row>
    <row r="11" spans="1:6" x14ac:dyDescent="0.25">
      <c r="A11" t="s">
        <v>3</v>
      </c>
      <c r="E11" t="s">
        <v>12</v>
      </c>
      <c r="F11">
        <f>8000/2000</f>
        <v>4</v>
      </c>
    </row>
    <row r="12" spans="1:6" x14ac:dyDescent="0.25">
      <c r="A12" t="s">
        <v>4</v>
      </c>
      <c r="C12" t="s">
        <v>5</v>
      </c>
    </row>
    <row r="13" spans="1:6" x14ac:dyDescent="0.25">
      <c r="A13" t="s">
        <v>16</v>
      </c>
      <c r="C13" t="s">
        <v>6</v>
      </c>
      <c r="E13" t="s">
        <v>13</v>
      </c>
      <c r="F13" s="1">
        <f>3500/10000</f>
        <v>0.35</v>
      </c>
    </row>
    <row r="14" spans="1:6" x14ac:dyDescent="0.25">
      <c r="A14" t="s">
        <v>17</v>
      </c>
      <c r="C14" t="s">
        <v>7</v>
      </c>
      <c r="E14" t="s">
        <v>14</v>
      </c>
      <c r="F14" s="1">
        <f>1500/10000</f>
        <v>0.15</v>
      </c>
    </row>
    <row r="15" spans="1:6" x14ac:dyDescent="0.25">
      <c r="C15" t="s">
        <v>8</v>
      </c>
      <c r="E15" t="s">
        <v>15</v>
      </c>
      <c r="F15" s="1">
        <f>500/10000</f>
        <v>0.05</v>
      </c>
    </row>
    <row r="16" spans="1:6" x14ac:dyDescent="0.25">
      <c r="C16" t="s">
        <v>9</v>
      </c>
    </row>
    <row r="17" spans="1:7" x14ac:dyDescent="0.25">
      <c r="C17" t="s">
        <v>10</v>
      </c>
    </row>
    <row r="18" spans="1:7" x14ac:dyDescent="0.25">
      <c r="C18" t="s">
        <v>11</v>
      </c>
    </row>
    <row r="20" spans="1:7" x14ac:dyDescent="0.25">
      <c r="A20" s="15" t="s">
        <v>30</v>
      </c>
      <c r="B20" s="15"/>
      <c r="C20" s="15"/>
      <c r="D20" s="15"/>
      <c r="E20" s="15"/>
      <c r="F20" s="15"/>
    </row>
    <row r="22" spans="1:7" x14ac:dyDescent="0.25">
      <c r="A22" s="12" t="s">
        <v>38</v>
      </c>
      <c r="B22" s="11"/>
      <c r="C22" s="13" t="s">
        <v>34</v>
      </c>
      <c r="E22" s="16" t="s">
        <v>37</v>
      </c>
      <c r="F22" s="16"/>
    </row>
    <row r="23" spans="1:7" x14ac:dyDescent="0.25">
      <c r="A23" t="s">
        <v>3</v>
      </c>
    </row>
    <row r="24" spans="1:7" x14ac:dyDescent="0.25">
      <c r="A24" t="s">
        <v>4</v>
      </c>
      <c r="C24" t="s">
        <v>20</v>
      </c>
      <c r="E24" t="s">
        <v>12</v>
      </c>
      <c r="F24" s="2">
        <f>6842/3158</f>
        <v>2.1665611146295123</v>
      </c>
      <c r="G24" s="3">
        <f>F24*100</f>
        <v>216.65611146295123</v>
      </c>
    </row>
    <row r="25" spans="1:7" x14ac:dyDescent="0.25">
      <c r="A25" t="s">
        <v>18</v>
      </c>
      <c r="C25" t="s">
        <v>21</v>
      </c>
      <c r="E25" t="s">
        <v>23</v>
      </c>
      <c r="F25">
        <f>3158/6842</f>
        <v>0.4615609470914937</v>
      </c>
      <c r="G25" s="3">
        <f>F25*100</f>
        <v>46.156094709149372</v>
      </c>
    </row>
    <row r="26" spans="1:7" x14ac:dyDescent="0.25">
      <c r="A26" t="s">
        <v>19</v>
      </c>
      <c r="C26" t="s">
        <v>7</v>
      </c>
    </row>
    <row r="27" spans="1:7" x14ac:dyDescent="0.25">
      <c r="C27" t="s">
        <v>8</v>
      </c>
    </row>
    <row r="28" spans="1:7" x14ac:dyDescent="0.25">
      <c r="C28" t="s">
        <v>9</v>
      </c>
      <c r="E28" t="s">
        <v>15</v>
      </c>
    </row>
    <row r="29" spans="1:7" x14ac:dyDescent="0.25">
      <c r="C29" t="s">
        <v>10</v>
      </c>
      <c r="E29" t="s">
        <v>27</v>
      </c>
      <c r="F29" s="2">
        <f>50/19550*100</f>
        <v>0.25575447570332482</v>
      </c>
    </row>
    <row r="30" spans="1:7" x14ac:dyDescent="0.25">
      <c r="C30" t="s">
        <v>22</v>
      </c>
    </row>
    <row r="31" spans="1:7" x14ac:dyDescent="0.25">
      <c r="E31" t="s">
        <v>25</v>
      </c>
      <c r="F31">
        <f>50/19550*1000</f>
        <v>2.5575447570332481</v>
      </c>
      <c r="G31" t="s">
        <v>28</v>
      </c>
    </row>
    <row r="32" spans="1:7" x14ac:dyDescent="0.25">
      <c r="B32" t="s">
        <v>24</v>
      </c>
      <c r="C32">
        <f>8500+7500+1500+1000+2*500+50</f>
        <v>19550</v>
      </c>
      <c r="E32" t="s">
        <v>26</v>
      </c>
      <c r="F32" s="3">
        <f>50/19550*10000</f>
        <v>25.575447570332482</v>
      </c>
    </row>
  </sheetData>
  <mergeCells count="4">
    <mergeCell ref="B3:C3"/>
    <mergeCell ref="A1:F1"/>
    <mergeCell ref="A20:F20"/>
    <mergeCell ref="E22:F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2D36-317F-4DD9-B4E8-5FD2DADFE940}">
  <dimension ref="B2:E11"/>
  <sheetViews>
    <sheetView tabSelected="1" workbookViewId="0">
      <selection activeCell="E2" activeCellId="1" sqref="B2:B10 E2:E10"/>
    </sheetView>
  </sheetViews>
  <sheetFormatPr baseColWidth="10" defaultRowHeight="15" x14ac:dyDescent="0.25"/>
  <cols>
    <col min="5" max="5" width="18.42578125" customWidth="1"/>
  </cols>
  <sheetData>
    <row r="2" spans="2:5" x14ac:dyDescent="0.25">
      <c r="B2" s="7" t="s">
        <v>32</v>
      </c>
      <c r="C2" s="7" t="s">
        <v>33</v>
      </c>
      <c r="D2" s="7" t="s">
        <v>34</v>
      </c>
      <c r="E2" s="7" t="s">
        <v>35</v>
      </c>
    </row>
    <row r="3" spans="2:5" x14ac:dyDescent="0.25">
      <c r="B3" s="4">
        <v>0</v>
      </c>
      <c r="C3" s="4">
        <v>3</v>
      </c>
      <c r="D3" s="9">
        <f>C3/$C$11</f>
        <v>7.1428571428571425E-2</v>
      </c>
      <c r="E3" s="10">
        <f>D3*100</f>
        <v>7.1428571428571423</v>
      </c>
    </row>
    <row r="4" spans="2:5" x14ac:dyDescent="0.25">
      <c r="B4" s="4">
        <v>1</v>
      </c>
      <c r="C4" s="4">
        <v>5</v>
      </c>
      <c r="D4" s="9">
        <f t="shared" ref="D4:D10" si="0">C4/$C$11</f>
        <v>0.11904761904761904</v>
      </c>
      <c r="E4" s="10">
        <f t="shared" ref="E4:E10" si="1">D4*100</f>
        <v>11.904761904761903</v>
      </c>
    </row>
    <row r="5" spans="2:5" x14ac:dyDescent="0.25">
      <c r="B5" s="4">
        <v>2</v>
      </c>
      <c r="C5" s="4">
        <v>7</v>
      </c>
      <c r="D5" s="9">
        <f t="shared" si="0"/>
        <v>0.16666666666666666</v>
      </c>
      <c r="E5" s="10">
        <f t="shared" si="1"/>
        <v>16.666666666666664</v>
      </c>
    </row>
    <row r="6" spans="2:5" x14ac:dyDescent="0.25">
      <c r="B6" s="4">
        <v>3</v>
      </c>
      <c r="C6" s="4">
        <v>8</v>
      </c>
      <c r="D6" s="9">
        <f t="shared" si="0"/>
        <v>0.19047619047619047</v>
      </c>
      <c r="E6" s="10">
        <f t="shared" si="1"/>
        <v>19.047619047619047</v>
      </c>
    </row>
    <row r="7" spans="2:5" x14ac:dyDescent="0.25">
      <c r="B7" s="4">
        <v>4</v>
      </c>
      <c r="C7" s="4">
        <v>9</v>
      </c>
      <c r="D7" s="9">
        <f t="shared" si="0"/>
        <v>0.21428571428571427</v>
      </c>
      <c r="E7" s="10">
        <f t="shared" si="1"/>
        <v>21.428571428571427</v>
      </c>
    </row>
    <row r="8" spans="2:5" x14ac:dyDescent="0.25">
      <c r="B8" s="4">
        <v>5</v>
      </c>
      <c r="C8" s="4">
        <v>6</v>
      </c>
      <c r="D8" s="9">
        <f t="shared" si="0"/>
        <v>0.14285714285714285</v>
      </c>
      <c r="E8" s="10">
        <f t="shared" si="1"/>
        <v>14.285714285714285</v>
      </c>
    </row>
    <row r="9" spans="2:5" x14ac:dyDescent="0.25">
      <c r="B9" s="4">
        <v>6</v>
      </c>
      <c r="C9" s="4">
        <v>3</v>
      </c>
      <c r="D9" s="9">
        <f t="shared" si="0"/>
        <v>7.1428571428571425E-2</v>
      </c>
      <c r="E9" s="10">
        <f t="shared" si="1"/>
        <v>7.1428571428571423</v>
      </c>
    </row>
    <row r="10" spans="2:5" x14ac:dyDescent="0.25">
      <c r="B10" s="5">
        <v>7</v>
      </c>
      <c r="C10" s="5">
        <v>1</v>
      </c>
      <c r="D10" s="9">
        <f t="shared" si="0"/>
        <v>2.3809523809523808E-2</v>
      </c>
      <c r="E10" s="10">
        <f t="shared" si="1"/>
        <v>2.3809523809523809</v>
      </c>
    </row>
    <row r="11" spans="2:5" x14ac:dyDescent="0.25">
      <c r="B11" s="6" t="s">
        <v>24</v>
      </c>
      <c r="C11" s="8">
        <f>SUM(C3:C10)</f>
        <v>42</v>
      </c>
      <c r="D11" s="8">
        <v>1</v>
      </c>
      <c r="E11" s="8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Aplicación</vt:lpstr>
      <vt:lpstr>Corrección</vt:lpstr>
      <vt:lpstr>Distribución de frecuencias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2020-05-09T17:56:57Z</dcterms:created>
  <dcterms:modified xsi:type="dcterms:W3CDTF">2023-05-13T16:05:55Z</dcterms:modified>
</cp:coreProperties>
</file>