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240" yWindow="105" windowWidth="14805" windowHeight="8010"/>
  </bookViews>
  <sheets>
    <sheet name="General" sheetId="1" r:id="rId1"/>
    <sheet name="Grupo 1" sheetId="2" r:id="rId2"/>
    <sheet name="Grupo 2" sheetId="3" r:id="rId3"/>
    <sheet name="Grupo 3" sheetId="4" r:id="rId4"/>
    <sheet name="Grupo 4" sheetId="5" r:id="rId5"/>
  </sheets>
  <calcPr calcId="162913"/>
</workbook>
</file>

<file path=xl/calcChain.xml><?xml version="1.0" encoding="utf-8"?>
<calcChain xmlns="http://schemas.openxmlformats.org/spreadsheetml/2006/main">
  <c r="H6" i="5" l="1"/>
  <c r="H5" i="5"/>
  <c r="H4" i="5"/>
  <c r="H3" i="5"/>
  <c r="H2" i="5"/>
  <c r="H6" i="4"/>
  <c r="H5" i="4"/>
  <c r="H4" i="4"/>
  <c r="H3" i="4"/>
  <c r="H2" i="4"/>
  <c r="H6" i="3"/>
  <c r="H5" i="3"/>
  <c r="H4" i="3"/>
  <c r="H3" i="3"/>
  <c r="H2" i="3"/>
  <c r="H6" i="2"/>
  <c r="H5" i="2"/>
  <c r="H4" i="2"/>
  <c r="H3" i="2"/>
  <c r="H2" i="2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20" i="1"/>
  <c r="H21" i="1"/>
  <c r="H22" i="1"/>
  <c r="H2" i="1"/>
</calcChain>
</file>

<file path=xl/sharedStrings.xml><?xml version="1.0" encoding="utf-8"?>
<sst xmlns="http://schemas.openxmlformats.org/spreadsheetml/2006/main" count="87" uniqueCount="31">
  <si>
    <t>Participación</t>
  </si>
  <si>
    <t>Examen 1</t>
  </si>
  <si>
    <t>Examen 2</t>
  </si>
  <si>
    <t>Nota Final</t>
  </si>
  <si>
    <t>Id</t>
  </si>
  <si>
    <t>ALFARO MURILLO GABRIELA</t>
  </si>
  <si>
    <t>ALFARO RAMIREZ GEHASLANE</t>
  </si>
  <si>
    <t>ALVARADO OVIEDO DAVID</t>
  </si>
  <si>
    <t>BERMUDEZ PEÑA ALEJANDRA</t>
  </si>
  <si>
    <t>BRENES FERNANDEZ JUAN CARLOS</t>
  </si>
  <si>
    <t>CABALLERO CAMPOS CINTHYA MARIA</t>
  </si>
  <si>
    <t>CAMPOS ARAYA NANCY REBECA</t>
  </si>
  <si>
    <t>COLLADO VALVERDE GIANNINA</t>
  </si>
  <si>
    <t>CRUZ LOPEZ YIPSY ARIANA</t>
  </si>
  <si>
    <t>CUBERO CAMPOS NICOLAS</t>
  </si>
  <si>
    <t>DE LA ESPRIELLA CASTRO ESTEBAN OCTAVIO</t>
  </si>
  <si>
    <t>DOUGLAS CRUZ LESLIE ANN</t>
  </si>
  <si>
    <t>GOÑI PETERSEN MARCELA</t>
  </si>
  <si>
    <t>HERNANDEZ GONZALEZ MAUREN</t>
  </si>
  <si>
    <t>JARA CHAVARRIA NATALIA</t>
  </si>
  <si>
    <t>MOYANO PORRAS PAULA</t>
  </si>
  <si>
    <t>QUESADA VEGA REBECA</t>
  </si>
  <si>
    <t>RUIZ NAVARRETE BEATRIZ</t>
  </si>
  <si>
    <t>SOLANO BADILLA ALEJANDRA</t>
  </si>
  <si>
    <t>SOLANO BADILLA SUSANA</t>
  </si>
  <si>
    <t>SUCCAR YALICO JESSICA</t>
  </si>
  <si>
    <t>CL00839</t>
  </si>
  <si>
    <t>Carné</t>
  </si>
  <si>
    <t>Nombre completo</t>
  </si>
  <si>
    <t>Doc. Id</t>
  </si>
  <si>
    <t>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</si>
</sst>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u/>
      <sz val="10"/>
      <color theme="1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37">
    <xf numFmtId="0" fontId="0" fillId="0" borderId="0" xfId="0"/>
    <xf numFmtId="0" fontId="3" fillId="0" borderId="1" xfId="0" applyFont="1" applyBorder="1" applyAlignment="1">
      <alignment horizontal="center"/>
    </xf>
    <xf numFmtId="0" fontId="5" fillId="0" borderId="0" xfId="0" applyFont="1"/>
    <xf numFmtId="0" fontId="5" fillId="0" borderId="0" xfId="0" applyFont="1" applyBorder="1"/>
    <xf numFmtId="0" fontId="4" fillId="0" borderId="0" xfId="0" applyFont="1" applyAlignment="1">
      <alignment horizontal="center"/>
    </xf>
    <xf numFmtId="1" fontId="6" fillId="0" borderId="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/>
    </xf>
    <xf numFmtId="0" fontId="5" fillId="0" borderId="0" xfId="0" applyFont="1" applyFill="1" applyBorder="1"/>
    <xf numFmtId="0" fontId="5" fillId="0" borderId="0" xfId="0" applyFont="1" applyFill="1"/>
    <xf numFmtId="0" fontId="3" fillId="0" borderId="1" xfId="0" applyFont="1" applyFill="1" applyBorder="1" applyAlignment="1">
      <alignment horizontal="center"/>
    </xf>
    <xf numFmtId="0" fontId="0" fillId="0" borderId="0" xfId="0" applyFont="1"/>
    <xf numFmtId="0" fontId="3" fillId="0" borderId="0" xfId="0" applyFont="1" applyBorder="1" applyAlignment="1"/>
    <xf numFmtId="0" fontId="5" fillId="0" borderId="2" xfId="0" applyFont="1" applyBorder="1"/>
    <xf numFmtId="0" fontId="3" fillId="0" borderId="2" xfId="0" applyFont="1" applyBorder="1" applyAlignment="1"/>
    <xf numFmtId="0" fontId="7" fillId="0" borderId="1" xfId="1" applyFont="1" applyFill="1" applyBorder="1" applyAlignment="1">
      <alignment horizontal="left" vertical="center"/>
    </xf>
    <xf numFmtId="0" fontId="7" fillId="0" borderId="0" xfId="1" applyFont="1" applyFill="1" applyBorder="1"/>
    <xf numFmtId="0" fontId="7" fillId="0" borderId="1" xfId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8" fillId="0" borderId="0" xfId="1" applyFont="1" applyFill="1" applyBorder="1"/>
    <xf numFmtId="0" fontId="7" fillId="0" borderId="0" xfId="1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Border="1"/>
    <xf numFmtId="0" fontId="6" fillId="0" borderId="0" xfId="0" applyFont="1" applyBorder="1"/>
    <xf numFmtId="0" fontId="4" fillId="0" borderId="0" xfId="0" applyFont="1"/>
    <xf numFmtId="0" fontId="6" fillId="0" borderId="0" xfId="0" applyFont="1"/>
    <xf numFmtId="0" fontId="6" fillId="0" borderId="2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center"/>
    </xf>
    <xf numFmtId="0" fontId="4" fillId="0" borderId="0" xfId="0" quotePrefix="1" applyFont="1" applyBorder="1" applyAlignment="1">
      <alignment horizontal="center"/>
    </xf>
    <xf numFmtId="1" fontId="6" fillId="0" borderId="2" xfId="0" applyNumberFormat="1" applyFont="1" applyBorder="1" applyAlignment="1">
      <alignment horizontal="center"/>
    </xf>
    <xf numFmtId="0" fontId="8" fillId="0" borderId="2" xfId="1" applyFont="1" applyFill="1" applyBorder="1"/>
    <xf numFmtId="0" fontId="7" fillId="0" borderId="2" xfId="1" applyFont="1" applyFill="1" applyBorder="1"/>
    <xf numFmtId="0" fontId="7" fillId="0" borderId="2" xfId="1" applyFont="1" applyFill="1" applyBorder="1" applyAlignment="1">
      <alignment horizontal="center"/>
    </xf>
    <xf numFmtId="0" fontId="4" fillId="0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Fill="1" applyBorder="1" applyAlignment="1">
      <alignment horizontal="center"/>
    </xf>
  </cellXfs>
  <cellStyles count="3">
    <cellStyle name="Hipervínculo 2" xfId="2"/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tabSelected="1" zoomScale="115" zoomScaleNormal="115" workbookViewId="0">
      <selection activeCell="H3" sqref="H3"/>
    </sheetView>
  </sheetViews>
  <sheetFormatPr baseColWidth="10" defaultColWidth="9.140625" defaultRowHeight="15" x14ac:dyDescent="0.25"/>
  <cols>
    <col min="1" max="1" width="9.140625" style="2"/>
    <col min="2" max="2" width="13.85546875" style="2" customWidth="1"/>
    <col min="3" max="3" width="34.7109375" style="2" bestFit="1" customWidth="1"/>
    <col min="4" max="4" width="39.7109375" style="2" customWidth="1"/>
    <col min="5" max="5" width="14.140625" style="2" bestFit="1" customWidth="1"/>
    <col min="6" max="7" width="10.7109375" style="2" bestFit="1" customWidth="1"/>
    <col min="8" max="8" width="11.140625" style="2" bestFit="1" customWidth="1"/>
    <col min="9" max="9" width="11.42578125" style="2" bestFit="1" customWidth="1"/>
    <col min="10" max="16384" width="9.140625" style="2"/>
  </cols>
  <sheetData>
    <row r="1" spans="1:10" x14ac:dyDescent="0.25">
      <c r="A1" s="10" t="s">
        <v>4</v>
      </c>
      <c r="B1" s="11" t="s">
        <v>27</v>
      </c>
      <c r="C1" s="13" t="s">
        <v>28</v>
      </c>
      <c r="D1" s="11" t="s">
        <v>29</v>
      </c>
      <c r="E1" s="1" t="s">
        <v>0</v>
      </c>
      <c r="F1" s="1" t="s">
        <v>1</v>
      </c>
      <c r="G1" s="35" t="s">
        <v>2</v>
      </c>
      <c r="H1" s="9" t="s">
        <v>3</v>
      </c>
    </row>
    <row r="2" spans="1:10" ht="15.75" x14ac:dyDescent="0.25">
      <c r="A2" s="2">
        <v>1</v>
      </c>
      <c r="B2" s="14" t="s">
        <v>26</v>
      </c>
      <c r="C2" s="15" t="s">
        <v>5</v>
      </c>
      <c r="D2" s="16">
        <v>114040055</v>
      </c>
      <c r="E2" s="17">
        <v>100</v>
      </c>
      <c r="F2" s="17">
        <v>84</v>
      </c>
      <c r="G2" s="20">
        <v>90</v>
      </c>
      <c r="H2" s="6">
        <f>E2*$E$23+F2*$F$23+G2*$G$23</f>
        <v>89.6</v>
      </c>
      <c r="I2" s="3"/>
    </row>
    <row r="3" spans="1:10" ht="15.75" x14ac:dyDescent="0.25">
      <c r="A3" s="2">
        <v>2</v>
      </c>
      <c r="B3" s="18">
        <v>2018040001</v>
      </c>
      <c r="C3" s="15" t="s">
        <v>6</v>
      </c>
      <c r="D3" s="19">
        <v>112890554</v>
      </c>
      <c r="E3" s="20">
        <v>100</v>
      </c>
      <c r="F3" s="21">
        <v>94</v>
      </c>
      <c r="G3" s="20">
        <v>93</v>
      </c>
      <c r="H3" s="5">
        <f t="shared" ref="H3:H22" si="0">E3*$E$23+F3*$F$23+G3*$G$23</f>
        <v>94.800000000000011</v>
      </c>
      <c r="I3" s="3"/>
    </row>
    <row r="4" spans="1:10" ht="15.75" x14ac:dyDescent="0.25">
      <c r="A4" s="2">
        <v>3</v>
      </c>
      <c r="B4" s="18">
        <v>2007020536</v>
      </c>
      <c r="C4" s="15" t="s">
        <v>7</v>
      </c>
      <c r="D4" s="19">
        <v>401980039</v>
      </c>
      <c r="E4" s="20">
        <v>100</v>
      </c>
      <c r="F4" s="20">
        <v>92</v>
      </c>
      <c r="G4" s="20">
        <v>92</v>
      </c>
      <c r="H4" s="5">
        <f t="shared" si="0"/>
        <v>93.600000000000009</v>
      </c>
      <c r="I4" s="3"/>
    </row>
    <row r="5" spans="1:10" ht="15.75" x14ac:dyDescent="0.25">
      <c r="A5" s="2">
        <v>4</v>
      </c>
      <c r="B5" s="18">
        <v>2018040005</v>
      </c>
      <c r="C5" s="15" t="s">
        <v>8</v>
      </c>
      <c r="D5" s="19">
        <v>113750415</v>
      </c>
      <c r="E5" s="20">
        <v>100</v>
      </c>
      <c r="F5" s="20">
        <v>94</v>
      </c>
      <c r="G5" s="20">
        <v>83</v>
      </c>
      <c r="H5" s="5">
        <f t="shared" si="0"/>
        <v>90.800000000000011</v>
      </c>
      <c r="I5" s="3"/>
    </row>
    <row r="6" spans="1:10" ht="15.75" x14ac:dyDescent="0.25">
      <c r="A6" s="2">
        <v>5</v>
      </c>
      <c r="B6" s="18">
        <v>2015020320</v>
      </c>
      <c r="C6" s="15" t="s">
        <v>9</v>
      </c>
      <c r="D6" s="19">
        <v>110980910</v>
      </c>
      <c r="E6" s="20">
        <v>100</v>
      </c>
      <c r="F6" s="20">
        <v>94</v>
      </c>
      <c r="G6" s="20">
        <v>83</v>
      </c>
      <c r="H6" s="5">
        <f t="shared" si="0"/>
        <v>90.800000000000011</v>
      </c>
      <c r="I6" s="3"/>
    </row>
    <row r="7" spans="1:10" ht="15.75" x14ac:dyDescent="0.25">
      <c r="A7" s="2">
        <v>6</v>
      </c>
      <c r="B7" s="18">
        <v>2018040007</v>
      </c>
      <c r="C7" s="15" t="s">
        <v>10</v>
      </c>
      <c r="D7" s="19">
        <v>206280663</v>
      </c>
      <c r="E7" s="20">
        <v>100</v>
      </c>
      <c r="F7" s="21">
        <v>94</v>
      </c>
      <c r="G7" s="20">
        <v>93</v>
      </c>
      <c r="H7" s="5">
        <f t="shared" si="0"/>
        <v>94.800000000000011</v>
      </c>
      <c r="I7" s="7"/>
      <c r="J7" s="8"/>
    </row>
    <row r="8" spans="1:10" ht="15.75" x14ac:dyDescent="0.25">
      <c r="A8" s="2">
        <v>7</v>
      </c>
      <c r="B8" s="18">
        <v>402110243</v>
      </c>
      <c r="C8" s="15" t="s">
        <v>11</v>
      </c>
      <c r="D8" s="19">
        <v>402110243</v>
      </c>
      <c r="E8" s="20">
        <v>100</v>
      </c>
      <c r="F8" s="21">
        <v>94</v>
      </c>
      <c r="G8" s="20">
        <v>93</v>
      </c>
      <c r="H8" s="5">
        <f t="shared" si="0"/>
        <v>94.800000000000011</v>
      </c>
      <c r="I8" s="7"/>
      <c r="J8" s="8"/>
    </row>
    <row r="9" spans="1:10" ht="15.75" x14ac:dyDescent="0.25">
      <c r="A9" s="2">
        <v>8</v>
      </c>
      <c r="B9" s="18">
        <v>2009020713</v>
      </c>
      <c r="C9" s="15" t="s">
        <v>12</v>
      </c>
      <c r="D9" s="19">
        <v>114410255</v>
      </c>
      <c r="E9" s="20">
        <v>100</v>
      </c>
      <c r="F9" s="21">
        <v>84</v>
      </c>
      <c r="G9" s="20">
        <v>90</v>
      </c>
      <c r="H9" s="5">
        <f t="shared" si="0"/>
        <v>89.6</v>
      </c>
      <c r="I9" s="7"/>
      <c r="J9" s="8"/>
    </row>
    <row r="10" spans="1:10" ht="15.75" x14ac:dyDescent="0.25">
      <c r="A10" s="2">
        <v>9</v>
      </c>
      <c r="B10" s="18">
        <v>2018040003</v>
      </c>
      <c r="C10" s="15" t="s">
        <v>13</v>
      </c>
      <c r="D10" s="19">
        <v>155817800215</v>
      </c>
      <c r="E10" s="20">
        <v>100</v>
      </c>
      <c r="F10" s="20">
        <v>94</v>
      </c>
      <c r="G10" s="20">
        <v>83</v>
      </c>
      <c r="H10" s="5">
        <f t="shared" si="0"/>
        <v>90.800000000000011</v>
      </c>
      <c r="I10" s="7"/>
      <c r="J10" s="8"/>
    </row>
    <row r="11" spans="1:10" ht="15.75" x14ac:dyDescent="0.25">
      <c r="A11" s="2">
        <v>10</v>
      </c>
      <c r="B11" s="18">
        <v>2017010170</v>
      </c>
      <c r="C11" s="15" t="s">
        <v>14</v>
      </c>
      <c r="D11" s="19">
        <v>111680944</v>
      </c>
      <c r="E11" s="20">
        <v>100</v>
      </c>
      <c r="F11" s="21">
        <v>94</v>
      </c>
      <c r="G11" s="20">
        <v>83</v>
      </c>
      <c r="H11" s="5">
        <f t="shared" si="0"/>
        <v>90.800000000000011</v>
      </c>
      <c r="I11" s="7"/>
      <c r="J11" s="8"/>
    </row>
    <row r="12" spans="1:10" ht="15.75" customHeight="1" x14ac:dyDescent="0.25">
      <c r="A12" s="2">
        <v>11</v>
      </c>
      <c r="B12" s="18">
        <v>2008010997</v>
      </c>
      <c r="C12" s="15" t="s">
        <v>15</v>
      </c>
      <c r="D12" s="19">
        <v>114110462</v>
      </c>
      <c r="E12" s="20">
        <v>100</v>
      </c>
      <c r="F12" s="20">
        <v>84</v>
      </c>
      <c r="G12" s="20">
        <v>90</v>
      </c>
      <c r="H12" s="5">
        <f t="shared" si="0"/>
        <v>89.6</v>
      </c>
      <c r="I12" s="7"/>
      <c r="J12" s="8"/>
    </row>
    <row r="13" spans="1:10" ht="15.75" customHeight="1" x14ac:dyDescent="0.25">
      <c r="A13" s="2">
        <v>12</v>
      </c>
      <c r="B13" s="18">
        <v>2009020771</v>
      </c>
      <c r="C13" s="15" t="s">
        <v>16</v>
      </c>
      <c r="D13" s="19">
        <v>115070198</v>
      </c>
      <c r="E13" s="20">
        <v>100</v>
      </c>
      <c r="F13" s="21">
        <v>84</v>
      </c>
      <c r="G13" s="20">
        <v>90</v>
      </c>
      <c r="H13" s="5">
        <f t="shared" si="0"/>
        <v>89.6</v>
      </c>
      <c r="I13" s="7"/>
      <c r="J13" s="8"/>
    </row>
    <row r="14" spans="1:10" ht="15.75" customHeight="1" x14ac:dyDescent="0.25">
      <c r="A14" s="2">
        <v>13</v>
      </c>
      <c r="B14" s="18">
        <v>2013020186</v>
      </c>
      <c r="C14" s="15" t="s">
        <v>17</v>
      </c>
      <c r="D14" s="19">
        <v>110720343</v>
      </c>
      <c r="E14" s="20">
        <v>100</v>
      </c>
      <c r="F14" s="20">
        <v>94</v>
      </c>
      <c r="G14" s="20">
        <v>93</v>
      </c>
      <c r="H14" s="5">
        <f t="shared" si="0"/>
        <v>94.800000000000011</v>
      </c>
      <c r="I14" s="7"/>
      <c r="J14" s="8"/>
    </row>
    <row r="15" spans="1:10" ht="15.75" customHeight="1" x14ac:dyDescent="0.25">
      <c r="A15" s="2">
        <v>14</v>
      </c>
      <c r="B15" s="18">
        <v>2018040004</v>
      </c>
      <c r="C15" s="15" t="s">
        <v>18</v>
      </c>
      <c r="D15" s="19">
        <v>112270650</v>
      </c>
      <c r="E15" s="20">
        <v>100</v>
      </c>
      <c r="F15" s="21">
        <v>94</v>
      </c>
      <c r="G15" s="20">
        <v>93</v>
      </c>
      <c r="H15" s="5">
        <f t="shared" si="0"/>
        <v>94.800000000000011</v>
      </c>
      <c r="I15" s="7"/>
      <c r="J15" s="8"/>
    </row>
    <row r="16" spans="1:10" ht="15.75" customHeight="1" x14ac:dyDescent="0.25">
      <c r="A16" s="2">
        <v>15</v>
      </c>
      <c r="B16" s="18">
        <v>2008010940</v>
      </c>
      <c r="C16" s="15" t="s">
        <v>19</v>
      </c>
      <c r="D16" s="19">
        <v>402030943</v>
      </c>
      <c r="E16" s="20">
        <v>100</v>
      </c>
      <c r="F16" s="21">
        <v>94</v>
      </c>
      <c r="G16" s="20">
        <v>83</v>
      </c>
      <c r="H16" s="5">
        <f t="shared" si="0"/>
        <v>90.800000000000011</v>
      </c>
      <c r="I16" s="7"/>
      <c r="J16" s="8"/>
    </row>
    <row r="17" spans="1:10" ht="15.75" customHeight="1" x14ac:dyDescent="0.25">
      <c r="A17" s="2">
        <v>16</v>
      </c>
      <c r="B17" s="18">
        <v>2018040002</v>
      </c>
      <c r="C17" s="15" t="s">
        <v>20</v>
      </c>
      <c r="D17" s="19">
        <v>117001852515</v>
      </c>
      <c r="E17" s="20">
        <v>100</v>
      </c>
      <c r="F17" s="20">
        <v>92</v>
      </c>
      <c r="G17" s="21">
        <v>92</v>
      </c>
      <c r="H17" s="5">
        <f t="shared" si="0"/>
        <v>93.600000000000009</v>
      </c>
      <c r="I17" s="7"/>
      <c r="J17" s="8"/>
    </row>
    <row r="18" spans="1:10" ht="16.5" customHeight="1" x14ac:dyDescent="0.25">
      <c r="A18" s="2">
        <v>17</v>
      </c>
      <c r="B18" s="18">
        <v>2018040006</v>
      </c>
      <c r="C18" s="22" t="s">
        <v>21</v>
      </c>
      <c r="D18" s="19">
        <v>110610934</v>
      </c>
      <c r="E18" s="20">
        <v>100</v>
      </c>
      <c r="F18" s="21">
        <v>84</v>
      </c>
      <c r="G18" s="20">
        <v>90</v>
      </c>
      <c r="H18" s="5">
        <f t="shared" si="0"/>
        <v>89.6</v>
      </c>
      <c r="I18" s="7"/>
      <c r="J18" s="8"/>
    </row>
    <row r="19" spans="1:10" ht="15.75" customHeight="1" x14ac:dyDescent="0.25">
      <c r="A19" s="2">
        <v>18</v>
      </c>
      <c r="B19" s="23">
        <v>2008010991</v>
      </c>
      <c r="C19" s="24" t="s">
        <v>22</v>
      </c>
      <c r="D19" s="20">
        <v>114570311</v>
      </c>
      <c r="E19" s="29" t="s">
        <v>30</v>
      </c>
      <c r="F19" s="29" t="s">
        <v>30</v>
      </c>
      <c r="G19" s="29" t="s">
        <v>30</v>
      </c>
      <c r="H19" s="29" t="s">
        <v>30</v>
      </c>
      <c r="I19" s="3"/>
    </row>
    <row r="20" spans="1:10" ht="15" customHeight="1" x14ac:dyDescent="0.25">
      <c r="A20" s="2">
        <v>19</v>
      </c>
      <c r="B20" s="25">
        <v>2005010659</v>
      </c>
      <c r="C20" s="24" t="s">
        <v>23</v>
      </c>
      <c r="D20" s="4">
        <v>113120716</v>
      </c>
      <c r="E20" s="20">
        <v>100</v>
      </c>
      <c r="F20" s="4">
        <v>92</v>
      </c>
      <c r="G20" s="4">
        <v>92</v>
      </c>
      <c r="H20" s="5">
        <f t="shared" si="0"/>
        <v>93.600000000000009</v>
      </c>
    </row>
    <row r="21" spans="1:10" ht="15" customHeight="1" x14ac:dyDescent="0.25">
      <c r="A21" s="2">
        <v>20</v>
      </c>
      <c r="B21" s="25">
        <v>2005010660</v>
      </c>
      <c r="C21" s="24" t="s">
        <v>24</v>
      </c>
      <c r="D21" s="4">
        <v>113120715</v>
      </c>
      <c r="E21" s="20">
        <v>100</v>
      </c>
      <c r="F21" s="4">
        <v>92</v>
      </c>
      <c r="G21" s="4">
        <v>92</v>
      </c>
      <c r="H21" s="5">
        <f t="shared" si="0"/>
        <v>93.600000000000009</v>
      </c>
    </row>
    <row r="22" spans="1:10" ht="15" customHeight="1" x14ac:dyDescent="0.25">
      <c r="A22" s="12">
        <v>21</v>
      </c>
      <c r="B22" s="26">
        <v>108520956</v>
      </c>
      <c r="C22" s="27" t="s">
        <v>25</v>
      </c>
      <c r="D22" s="28">
        <v>108520956</v>
      </c>
      <c r="E22" s="28">
        <v>100</v>
      </c>
      <c r="F22" s="28">
        <v>92</v>
      </c>
      <c r="G22" s="28">
        <v>92</v>
      </c>
      <c r="H22" s="30">
        <f t="shared" si="0"/>
        <v>93.600000000000009</v>
      </c>
    </row>
    <row r="23" spans="1:10" x14ac:dyDescent="0.25">
      <c r="E23" s="4">
        <v>0.2</v>
      </c>
      <c r="F23" s="4">
        <v>0.4</v>
      </c>
      <c r="G23" s="4">
        <v>0.4</v>
      </c>
    </row>
  </sheetData>
  <sortState ref="D2:I28">
    <sortCondition ref="D2:D28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="145" zoomScaleNormal="145" workbookViewId="0">
      <selection sqref="A1:H7"/>
    </sheetView>
  </sheetViews>
  <sheetFormatPr baseColWidth="10" defaultColWidth="9.140625" defaultRowHeight="15" x14ac:dyDescent="0.25"/>
  <cols>
    <col min="1" max="1" width="9.140625" style="2"/>
    <col min="2" max="2" width="13.85546875" style="2" customWidth="1"/>
    <col min="3" max="3" width="34.7109375" style="2" bestFit="1" customWidth="1"/>
    <col min="4" max="4" width="39.7109375" style="2" customWidth="1"/>
    <col min="5" max="5" width="14.140625" style="2" bestFit="1" customWidth="1"/>
    <col min="6" max="7" width="10.7109375" style="2" bestFit="1" customWidth="1"/>
    <col min="8" max="8" width="11.140625" style="2" bestFit="1" customWidth="1"/>
    <col min="9" max="9" width="11.42578125" style="2" bestFit="1" customWidth="1"/>
    <col min="10" max="16384" width="9.140625" style="2"/>
  </cols>
  <sheetData>
    <row r="1" spans="1:10" x14ac:dyDescent="0.25">
      <c r="A1" s="10" t="s">
        <v>4</v>
      </c>
      <c r="B1" s="13" t="s">
        <v>27</v>
      </c>
      <c r="C1" s="13" t="s">
        <v>28</v>
      </c>
      <c r="D1" s="13" t="s">
        <v>29</v>
      </c>
      <c r="E1" s="35" t="s">
        <v>0</v>
      </c>
      <c r="F1" s="35" t="s">
        <v>1</v>
      </c>
      <c r="G1" s="35" t="s">
        <v>2</v>
      </c>
      <c r="H1" s="36" t="s">
        <v>3</v>
      </c>
    </row>
    <row r="2" spans="1:10" ht="15.75" x14ac:dyDescent="0.25">
      <c r="A2" s="2">
        <v>2</v>
      </c>
      <c r="B2" s="18">
        <v>2018040001</v>
      </c>
      <c r="C2" s="15" t="s">
        <v>6</v>
      </c>
      <c r="D2" s="19">
        <v>112890554</v>
      </c>
      <c r="E2" s="20">
        <v>100</v>
      </c>
      <c r="F2" s="21">
        <v>94</v>
      </c>
      <c r="G2" s="20">
        <v>93</v>
      </c>
      <c r="H2" s="5">
        <f>E2*$E$7+F2*$F$7+G2*$G$7</f>
        <v>94.800000000000011</v>
      </c>
      <c r="I2" s="3"/>
    </row>
    <row r="3" spans="1:10" ht="15.75" x14ac:dyDescent="0.25">
      <c r="A3" s="2">
        <v>6</v>
      </c>
      <c r="B3" s="18">
        <v>2018040007</v>
      </c>
      <c r="C3" s="15" t="s">
        <v>10</v>
      </c>
      <c r="D3" s="19">
        <v>206280663</v>
      </c>
      <c r="E3" s="20">
        <v>100</v>
      </c>
      <c r="F3" s="21">
        <v>94</v>
      </c>
      <c r="G3" s="20">
        <v>93</v>
      </c>
      <c r="H3" s="5">
        <f>E3*$E$7+F3*$F$7+G3*$G$7</f>
        <v>94.800000000000011</v>
      </c>
      <c r="I3" s="7"/>
      <c r="J3" s="8"/>
    </row>
    <row r="4" spans="1:10" ht="15.75" x14ac:dyDescent="0.25">
      <c r="A4" s="2">
        <v>7</v>
      </c>
      <c r="B4" s="18">
        <v>402110243</v>
      </c>
      <c r="C4" s="15" t="s">
        <v>11</v>
      </c>
      <c r="D4" s="19">
        <v>402110243</v>
      </c>
      <c r="E4" s="20">
        <v>100</v>
      </c>
      <c r="F4" s="21">
        <v>94</v>
      </c>
      <c r="G4" s="20">
        <v>93</v>
      </c>
      <c r="H4" s="5">
        <f>E4*$E$7+F4*$F$7+G4*$G$7</f>
        <v>94.800000000000011</v>
      </c>
      <c r="I4" s="7"/>
      <c r="J4" s="8"/>
    </row>
    <row r="5" spans="1:10" ht="15.75" customHeight="1" x14ac:dyDescent="0.25">
      <c r="A5" s="2">
        <v>13</v>
      </c>
      <c r="B5" s="18">
        <v>2013020186</v>
      </c>
      <c r="C5" s="15" t="s">
        <v>17</v>
      </c>
      <c r="D5" s="19">
        <v>110720343</v>
      </c>
      <c r="E5" s="20">
        <v>100</v>
      </c>
      <c r="F5" s="20">
        <v>94</v>
      </c>
      <c r="G5" s="20">
        <v>93</v>
      </c>
      <c r="H5" s="5">
        <f>E5*$E$7+F5*$F$7+G5*$G$7</f>
        <v>94.800000000000011</v>
      </c>
      <c r="I5" s="7"/>
      <c r="J5" s="8"/>
    </row>
    <row r="6" spans="1:10" ht="15.75" customHeight="1" x14ac:dyDescent="0.25">
      <c r="A6" s="3">
        <v>14</v>
      </c>
      <c r="B6" s="31">
        <v>2018040004</v>
      </c>
      <c r="C6" s="32" t="s">
        <v>18</v>
      </c>
      <c r="D6" s="33">
        <v>112270650</v>
      </c>
      <c r="E6" s="28">
        <v>100</v>
      </c>
      <c r="F6" s="34">
        <v>94</v>
      </c>
      <c r="G6" s="28">
        <v>93</v>
      </c>
      <c r="H6" s="30">
        <f>E6*$E$7+F6*$F$7+G6*$G$7</f>
        <v>94.800000000000011</v>
      </c>
      <c r="I6" s="7"/>
      <c r="J6" s="8"/>
    </row>
    <row r="7" spans="1:10" x14ac:dyDescent="0.25">
      <c r="E7" s="4">
        <v>0.2</v>
      </c>
      <c r="F7" s="4">
        <v>0.4</v>
      </c>
      <c r="G7" s="4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="145" zoomScaleNormal="145" workbookViewId="0">
      <selection activeCell="B1" sqref="B1:H7"/>
    </sheetView>
  </sheetViews>
  <sheetFormatPr baseColWidth="10" defaultColWidth="9.140625" defaultRowHeight="15" x14ac:dyDescent="0.25"/>
  <cols>
    <col min="1" max="1" width="9.140625" style="2"/>
    <col min="2" max="2" width="13.85546875" style="2" customWidth="1"/>
    <col min="3" max="3" width="34.7109375" style="2" bestFit="1" customWidth="1"/>
    <col min="4" max="4" width="39.7109375" style="2" customWidth="1"/>
    <col min="5" max="5" width="14.140625" style="2" bestFit="1" customWidth="1"/>
    <col min="6" max="7" width="10.7109375" style="2" bestFit="1" customWidth="1"/>
    <col min="8" max="8" width="11.140625" style="2" bestFit="1" customWidth="1"/>
    <col min="9" max="9" width="11.42578125" style="2" bestFit="1" customWidth="1"/>
    <col min="10" max="16384" width="9.140625" style="2"/>
  </cols>
  <sheetData>
    <row r="1" spans="1:10" x14ac:dyDescent="0.25">
      <c r="A1" s="10" t="s">
        <v>4</v>
      </c>
      <c r="B1" s="13" t="s">
        <v>27</v>
      </c>
      <c r="C1" s="13" t="s">
        <v>28</v>
      </c>
      <c r="D1" s="13" t="s">
        <v>29</v>
      </c>
      <c r="E1" s="35" t="s">
        <v>0</v>
      </c>
      <c r="F1" s="35" t="s">
        <v>1</v>
      </c>
      <c r="G1" s="35" t="s">
        <v>2</v>
      </c>
      <c r="H1" s="36" t="s">
        <v>3</v>
      </c>
    </row>
    <row r="2" spans="1:10" ht="15.75" x14ac:dyDescent="0.25">
      <c r="A2" s="2">
        <v>3</v>
      </c>
      <c r="B2" s="18">
        <v>2007020536</v>
      </c>
      <c r="C2" s="15" t="s">
        <v>7</v>
      </c>
      <c r="D2" s="19">
        <v>401980039</v>
      </c>
      <c r="E2" s="20">
        <v>100</v>
      </c>
      <c r="F2" s="20">
        <v>92</v>
      </c>
      <c r="G2" s="20">
        <v>92</v>
      </c>
      <c r="H2" s="5">
        <f>E2*$E$7+F2*$F$7+G2*$G$7</f>
        <v>93.600000000000009</v>
      </c>
      <c r="I2" s="3"/>
    </row>
    <row r="3" spans="1:10" ht="15.75" customHeight="1" x14ac:dyDescent="0.25">
      <c r="A3" s="2">
        <v>16</v>
      </c>
      <c r="B3" s="18">
        <v>2018040002</v>
      </c>
      <c r="C3" s="15" t="s">
        <v>20</v>
      </c>
      <c r="D3" s="19">
        <v>117001852515</v>
      </c>
      <c r="E3" s="20">
        <v>100</v>
      </c>
      <c r="F3" s="20">
        <v>92</v>
      </c>
      <c r="G3" s="21">
        <v>92</v>
      </c>
      <c r="H3" s="5">
        <f>E3*$E$7+F3*$F$7+G3*$G$7</f>
        <v>93.600000000000009</v>
      </c>
      <c r="I3" s="7"/>
      <c r="J3" s="8"/>
    </row>
    <row r="4" spans="1:10" ht="15" customHeight="1" x14ac:dyDescent="0.25">
      <c r="A4" s="2">
        <v>19</v>
      </c>
      <c r="B4" s="25">
        <v>2005010659</v>
      </c>
      <c r="C4" s="24" t="s">
        <v>23</v>
      </c>
      <c r="D4" s="4">
        <v>113120716</v>
      </c>
      <c r="E4" s="20">
        <v>100</v>
      </c>
      <c r="F4" s="4">
        <v>92</v>
      </c>
      <c r="G4" s="4">
        <v>92</v>
      </c>
      <c r="H4" s="5">
        <f>E4*$E$7+F4*$F$7+G4*$G$7</f>
        <v>93.600000000000009</v>
      </c>
    </row>
    <row r="5" spans="1:10" ht="15" customHeight="1" x14ac:dyDescent="0.25">
      <c r="A5" s="2">
        <v>20</v>
      </c>
      <c r="B5" s="25">
        <v>2005010660</v>
      </c>
      <c r="C5" s="24" t="s">
        <v>24</v>
      </c>
      <c r="D5" s="4">
        <v>113120715</v>
      </c>
      <c r="E5" s="20">
        <v>100</v>
      </c>
      <c r="F5" s="4">
        <v>92</v>
      </c>
      <c r="G5" s="4">
        <v>92</v>
      </c>
      <c r="H5" s="5">
        <f>E5*$E$7+F5*$F$7+G5*$G$7</f>
        <v>93.600000000000009</v>
      </c>
    </row>
    <row r="6" spans="1:10" ht="15" customHeight="1" x14ac:dyDescent="0.25">
      <c r="A6" s="12">
        <v>21</v>
      </c>
      <c r="B6" s="26">
        <v>108520956</v>
      </c>
      <c r="C6" s="27" t="s">
        <v>25</v>
      </c>
      <c r="D6" s="28">
        <v>108520956</v>
      </c>
      <c r="E6" s="28">
        <v>100</v>
      </c>
      <c r="F6" s="28">
        <v>92</v>
      </c>
      <c r="G6" s="28">
        <v>92</v>
      </c>
      <c r="H6" s="30">
        <f>E6*$E$7+F6*$F$7+G6*$G$7</f>
        <v>93.600000000000009</v>
      </c>
    </row>
    <row r="7" spans="1:10" x14ac:dyDescent="0.25">
      <c r="E7" s="4">
        <v>0.2</v>
      </c>
      <c r="F7" s="4">
        <v>0.4</v>
      </c>
      <c r="G7" s="4">
        <v>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zoomScale="160" zoomScaleNormal="160" workbookViewId="0">
      <selection activeCell="B1" sqref="B1:H7"/>
    </sheetView>
  </sheetViews>
  <sheetFormatPr baseColWidth="10" defaultColWidth="20" defaultRowHeight="15" x14ac:dyDescent="0.25"/>
  <cols>
    <col min="1" max="1" width="3" style="2" bestFit="1" customWidth="1"/>
    <col min="2" max="2" width="14.140625" style="2" customWidth="1"/>
    <col min="3" max="3" width="44.140625" style="2" bestFit="1" customWidth="1"/>
    <col min="4" max="4" width="12.42578125" style="2" bestFit="1" customWidth="1"/>
    <col min="5" max="5" width="14.140625" style="2" bestFit="1" customWidth="1"/>
    <col min="6" max="7" width="10.7109375" style="2" bestFit="1" customWidth="1"/>
    <col min="8" max="8" width="11.140625" style="2" bestFit="1" customWidth="1"/>
    <col min="9" max="16384" width="20" style="2"/>
  </cols>
  <sheetData>
    <row r="1" spans="1:10" x14ac:dyDescent="0.25">
      <c r="A1" s="10" t="s">
        <v>4</v>
      </c>
      <c r="B1" s="11" t="s">
        <v>27</v>
      </c>
      <c r="C1" s="13" t="s">
        <v>28</v>
      </c>
      <c r="D1" s="11" t="s">
        <v>29</v>
      </c>
      <c r="E1" s="1" t="s">
        <v>0</v>
      </c>
      <c r="F1" s="1" t="s">
        <v>1</v>
      </c>
      <c r="G1" s="35" t="s">
        <v>2</v>
      </c>
      <c r="H1" s="9" t="s">
        <v>3</v>
      </c>
    </row>
    <row r="2" spans="1:10" ht="15.75" x14ac:dyDescent="0.25">
      <c r="A2" s="2">
        <v>1</v>
      </c>
      <c r="B2" s="14" t="s">
        <v>26</v>
      </c>
      <c r="C2" s="15" t="s">
        <v>5</v>
      </c>
      <c r="D2" s="16">
        <v>114040055</v>
      </c>
      <c r="E2" s="17">
        <v>100</v>
      </c>
      <c r="F2" s="17">
        <v>84</v>
      </c>
      <c r="G2" s="20">
        <v>90</v>
      </c>
      <c r="H2" s="6">
        <f>E2*$E$7+F2*$F$7+G2*$G$7</f>
        <v>89.6</v>
      </c>
      <c r="I2" s="3"/>
    </row>
    <row r="3" spans="1:10" ht="15.75" x14ac:dyDescent="0.25">
      <c r="A3" s="2">
        <v>8</v>
      </c>
      <c r="B3" s="18">
        <v>2009020713</v>
      </c>
      <c r="C3" s="15" t="s">
        <v>12</v>
      </c>
      <c r="D3" s="19">
        <v>114410255</v>
      </c>
      <c r="E3" s="20">
        <v>100</v>
      </c>
      <c r="F3" s="21">
        <v>84</v>
      </c>
      <c r="G3" s="20">
        <v>90</v>
      </c>
      <c r="H3" s="5">
        <f>E3*$E$7+F3*$F$7+G3*$G$7</f>
        <v>89.6</v>
      </c>
      <c r="I3" s="7"/>
      <c r="J3" s="8"/>
    </row>
    <row r="4" spans="1:10" ht="15.75" customHeight="1" x14ac:dyDescent="0.25">
      <c r="A4" s="2">
        <v>11</v>
      </c>
      <c r="B4" s="18">
        <v>2008010997</v>
      </c>
      <c r="C4" s="15" t="s">
        <v>15</v>
      </c>
      <c r="D4" s="19">
        <v>114110462</v>
      </c>
      <c r="E4" s="20">
        <v>100</v>
      </c>
      <c r="F4" s="20">
        <v>84</v>
      </c>
      <c r="G4" s="20">
        <v>90</v>
      </c>
      <c r="H4" s="5">
        <f>E4*$E$7+F4*$F$7+G4*$G$7</f>
        <v>89.6</v>
      </c>
      <c r="I4" s="7"/>
      <c r="J4" s="8"/>
    </row>
    <row r="5" spans="1:10" ht="15.75" customHeight="1" x14ac:dyDescent="0.25">
      <c r="A5" s="2">
        <v>12</v>
      </c>
      <c r="B5" s="18">
        <v>2009020771</v>
      </c>
      <c r="C5" s="15" t="s">
        <v>16</v>
      </c>
      <c r="D5" s="19">
        <v>115070198</v>
      </c>
      <c r="E5" s="20">
        <v>100</v>
      </c>
      <c r="F5" s="21">
        <v>84</v>
      </c>
      <c r="G5" s="20">
        <v>90</v>
      </c>
      <c r="H5" s="5">
        <f>E5*$E$7+F5*$F$7+G5*$G$7</f>
        <v>89.6</v>
      </c>
      <c r="I5" s="7"/>
      <c r="J5" s="8"/>
    </row>
    <row r="6" spans="1:10" ht="16.5" customHeight="1" x14ac:dyDescent="0.25">
      <c r="A6" s="2">
        <v>17</v>
      </c>
      <c r="B6" s="31">
        <v>2018040006</v>
      </c>
      <c r="C6" s="27" t="s">
        <v>21</v>
      </c>
      <c r="D6" s="33">
        <v>110610934</v>
      </c>
      <c r="E6" s="28">
        <v>100</v>
      </c>
      <c r="F6" s="34">
        <v>84</v>
      </c>
      <c r="G6" s="28">
        <v>90</v>
      </c>
      <c r="H6" s="30">
        <f>E6*$E$7+F6*$F$7+G6*$G$7</f>
        <v>89.6</v>
      </c>
      <c r="I6" s="7"/>
      <c r="J6" s="8"/>
    </row>
    <row r="7" spans="1:10" x14ac:dyDescent="0.25">
      <c r="E7" s="4">
        <v>0.2</v>
      </c>
      <c r="F7" s="4">
        <v>0.4</v>
      </c>
      <c r="G7" s="4">
        <v>0.4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workbookViewId="0">
      <selection activeCell="B1" sqref="B1:H7"/>
    </sheetView>
  </sheetViews>
  <sheetFormatPr baseColWidth="10" defaultRowHeight="15" x14ac:dyDescent="0.25"/>
  <cols>
    <col min="2" max="2" width="14.140625" bestFit="1" customWidth="1"/>
    <col min="3" max="3" width="44.140625" bestFit="1" customWidth="1"/>
    <col min="4" max="4" width="12.42578125" bestFit="1" customWidth="1"/>
    <col min="5" max="5" width="14.140625" bestFit="1" customWidth="1"/>
  </cols>
  <sheetData>
    <row r="1" spans="1:8" x14ac:dyDescent="0.25">
      <c r="A1" s="10" t="s">
        <v>4</v>
      </c>
      <c r="B1" s="11" t="s">
        <v>27</v>
      </c>
      <c r="C1" s="13" t="s">
        <v>28</v>
      </c>
      <c r="D1" s="13" t="s">
        <v>29</v>
      </c>
      <c r="E1" s="35" t="s">
        <v>0</v>
      </c>
      <c r="F1" s="35" t="s">
        <v>1</v>
      </c>
      <c r="G1" s="35" t="s">
        <v>2</v>
      </c>
      <c r="H1" s="36" t="s">
        <v>3</v>
      </c>
    </row>
    <row r="2" spans="1:8" ht="15.75" x14ac:dyDescent="0.25">
      <c r="A2" s="2">
        <v>4</v>
      </c>
      <c r="B2" s="18">
        <v>2018040005</v>
      </c>
      <c r="C2" s="15" t="s">
        <v>8</v>
      </c>
      <c r="D2" s="19">
        <v>113750415</v>
      </c>
      <c r="E2" s="20">
        <v>100</v>
      </c>
      <c r="F2" s="20">
        <v>94</v>
      </c>
      <c r="G2" s="20">
        <v>83</v>
      </c>
      <c r="H2" s="5">
        <f>E2*$E$7+F2*$F$7+G2*$G$7</f>
        <v>90.800000000000011</v>
      </c>
    </row>
    <row r="3" spans="1:8" ht="15.75" x14ac:dyDescent="0.25">
      <c r="A3" s="2">
        <v>5</v>
      </c>
      <c r="B3" s="18">
        <v>2015020320</v>
      </c>
      <c r="C3" s="15" t="s">
        <v>9</v>
      </c>
      <c r="D3" s="19">
        <v>110980910</v>
      </c>
      <c r="E3" s="20">
        <v>100</v>
      </c>
      <c r="F3" s="20">
        <v>94</v>
      </c>
      <c r="G3" s="20">
        <v>83</v>
      </c>
      <c r="H3" s="5">
        <f>E3*$E$7+F3*$F$7+G3*$G$7</f>
        <v>90.800000000000011</v>
      </c>
    </row>
    <row r="4" spans="1:8" ht="15.75" x14ac:dyDescent="0.25">
      <c r="A4" s="2">
        <v>9</v>
      </c>
      <c r="B4" s="18">
        <v>2018040003</v>
      </c>
      <c r="C4" s="15" t="s">
        <v>13</v>
      </c>
      <c r="D4" s="19">
        <v>155817800215</v>
      </c>
      <c r="E4" s="20">
        <v>100</v>
      </c>
      <c r="F4" s="20">
        <v>94</v>
      </c>
      <c r="G4" s="20">
        <v>83</v>
      </c>
      <c r="H4" s="5">
        <f>E4*$E$7+F4*$F$7+G4*$G$7</f>
        <v>90.800000000000011</v>
      </c>
    </row>
    <row r="5" spans="1:8" ht="15.75" x14ac:dyDescent="0.25">
      <c r="A5" s="2">
        <v>10</v>
      </c>
      <c r="B5" s="18">
        <v>2017010170</v>
      </c>
      <c r="C5" s="15" t="s">
        <v>14</v>
      </c>
      <c r="D5" s="19">
        <v>111680944</v>
      </c>
      <c r="E5" s="20">
        <v>100</v>
      </c>
      <c r="F5" s="21">
        <v>94</v>
      </c>
      <c r="G5" s="20">
        <v>83</v>
      </c>
      <c r="H5" s="5">
        <f>E5*$E$7+F5*$F$7+G5*$G$7</f>
        <v>90.800000000000011</v>
      </c>
    </row>
    <row r="6" spans="1:8" ht="15.75" x14ac:dyDescent="0.25">
      <c r="A6" s="2">
        <v>15</v>
      </c>
      <c r="B6" s="31">
        <v>2008010940</v>
      </c>
      <c r="C6" s="32" t="s">
        <v>19</v>
      </c>
      <c r="D6" s="33">
        <v>402030943</v>
      </c>
      <c r="E6" s="28">
        <v>100</v>
      </c>
      <c r="F6" s="34">
        <v>94</v>
      </c>
      <c r="G6" s="28">
        <v>83</v>
      </c>
      <c r="H6" s="30">
        <f>E6*$E$7+F6*$F$7+G6*$G$7</f>
        <v>90.800000000000011</v>
      </c>
    </row>
    <row r="7" spans="1:8" x14ac:dyDescent="0.25">
      <c r="A7" s="2"/>
      <c r="B7" s="2"/>
      <c r="C7" s="2"/>
      <c r="D7" s="2"/>
      <c r="E7" s="4">
        <v>0.2</v>
      </c>
      <c r="F7" s="4">
        <v>0.4</v>
      </c>
      <c r="G7" s="4">
        <v>0.4</v>
      </c>
      <c r="H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General</vt:lpstr>
      <vt:lpstr>Grupo 1</vt:lpstr>
      <vt:lpstr>Grupo 2</vt:lpstr>
      <vt:lpstr>Grupo 3</vt:lpstr>
      <vt:lpstr>Grupo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2018-06-26T04:13:52Z</dcterms:modified>
</cp:coreProperties>
</file>