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 defaultThemeVersion="124226"/>
  <xr:revisionPtr revIDLastSave="0" documentId="13_ncr:1_{A0B39B19-4B79-4308-9174-2E035328D8C5}" xr6:coauthVersionLast="37" xr6:coauthVersionMax="37" xr10:uidLastSave="{00000000-0000-0000-0000-000000000000}"/>
  <bookViews>
    <workbookView xWindow="240" yWindow="105" windowWidth="14805" windowHeight="8010" activeTab="1" xr2:uid="{00000000-000D-0000-FFFF-FFFF00000000}"/>
  </bookViews>
  <sheets>
    <sheet name="General" sheetId="1" r:id="rId1"/>
    <sheet name="Grupo 1" sheetId="2" r:id="rId2"/>
    <sheet name="Grupo 2" sheetId="3" r:id="rId3"/>
    <sheet name="Grupo 3" sheetId="4" r:id="rId4"/>
    <sheet name="Grupo 4" sheetId="5" r:id="rId5"/>
  </sheets>
  <calcPr calcId="162913"/>
</workbook>
</file>

<file path=xl/calcChain.xml><?xml version="1.0" encoding="utf-8"?>
<calcChain xmlns="http://schemas.openxmlformats.org/spreadsheetml/2006/main">
  <c r="H7" i="5" l="1"/>
  <c r="H6" i="5"/>
  <c r="H5" i="5"/>
  <c r="H4" i="5"/>
  <c r="H3" i="5"/>
  <c r="H2" i="5"/>
  <c r="H7" i="4"/>
  <c r="H6" i="4"/>
  <c r="H5" i="4"/>
  <c r="H4" i="4"/>
  <c r="H3" i="4"/>
  <c r="H2" i="4"/>
  <c r="H6" i="3"/>
  <c r="H5" i="3"/>
  <c r="H4" i="3"/>
  <c r="H3" i="3"/>
  <c r="H2" i="3"/>
  <c r="H7" i="2"/>
  <c r="H6" i="2"/>
  <c r="H5" i="2"/>
  <c r="H4" i="2"/>
  <c r="H3" i="2"/>
  <c r="H2" i="2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" i="1"/>
</calcChain>
</file>

<file path=xl/sharedStrings.xml><?xml version="1.0" encoding="utf-8"?>
<sst xmlns="http://schemas.openxmlformats.org/spreadsheetml/2006/main" count="86" uniqueCount="31">
  <si>
    <t>Participación</t>
  </si>
  <si>
    <t>Examen 1</t>
  </si>
  <si>
    <t>Examen 2</t>
  </si>
  <si>
    <t>Nota Final</t>
  </si>
  <si>
    <t>Id</t>
  </si>
  <si>
    <t>Carné</t>
  </si>
  <si>
    <t>Nombre completo</t>
  </si>
  <si>
    <t>Doc. Id</t>
  </si>
  <si>
    <t xml:space="preserve">BONILLA UGALDE EMMANUEL </t>
  </si>
  <si>
    <t>BONILLA UGALDE MELISSA</t>
  </si>
  <si>
    <t xml:space="preserve">BONILLA UGALDE PRISCILLA </t>
  </si>
  <si>
    <t xml:space="preserve">BREALEY CASTILLO MEGAN </t>
  </si>
  <si>
    <t>BRENES GARITA ARIANA</t>
  </si>
  <si>
    <t xml:space="preserve">FRUGONE ROCA PIERO </t>
  </si>
  <si>
    <t>FUENTES ALFARO WILFREDO</t>
  </si>
  <si>
    <t xml:space="preserve">LOPEZ LEON GUSTAVO </t>
  </si>
  <si>
    <t xml:space="preserve">MADRIGAL DELGADO VIVIANA </t>
  </si>
  <si>
    <t xml:space="preserve">MOYA CAMACHO PAOLA </t>
  </si>
  <si>
    <t xml:space="preserve">RODRIGUEZ MARIN KAROL </t>
  </si>
  <si>
    <t xml:space="preserve">RONDON RUEDA LIZBETH </t>
  </si>
  <si>
    <t>SABORIO CERVANTES ISHTAR</t>
  </si>
  <si>
    <t>STEELE CHAVES SADIE</t>
  </si>
  <si>
    <t xml:space="preserve">SUBIROS ROJAS MARCELA </t>
  </si>
  <si>
    <t xml:space="preserve">THOMPSON CLARKE ALICIA </t>
  </si>
  <si>
    <t>VINDAS MONTOYA MARIA DEL ROCIO</t>
  </si>
  <si>
    <t xml:space="preserve">VIQUEZ LARA ESTEBAN </t>
  </si>
  <si>
    <t>BOGANTES LOPEZ JOSELYN</t>
  </si>
  <si>
    <t>CHINCHILLA TREJOS MARIA ANGEL</t>
  </si>
  <si>
    <t>QUIROS MURILLO DANIEL</t>
  </si>
  <si>
    <t>MORA ACUÑA ALEJANDRA</t>
  </si>
  <si>
    <t>CHAVEZ ACUÑA VIVIAM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</si>
</sst>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u/>
      <sz val="10"/>
      <color theme="1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2">
    <xf numFmtId="0" fontId="0" fillId="0" borderId="0" xfId="0"/>
    <xf numFmtId="0" fontId="5" fillId="0" borderId="0" xfId="0" applyFont="1"/>
    <xf numFmtId="0" fontId="5" fillId="0" borderId="0" xfId="0" applyFont="1" applyBorder="1"/>
    <xf numFmtId="1" fontId="6" fillId="0" borderId="0" xfId="0" applyNumberFormat="1" applyFont="1" applyBorder="1" applyAlignment="1">
      <alignment horizontal="center"/>
    </xf>
    <xf numFmtId="0" fontId="5" fillId="0" borderId="0" xfId="0" applyFont="1" applyFill="1" applyBorder="1"/>
    <xf numFmtId="0" fontId="5" fillId="0" borderId="0" xfId="0" applyFont="1" applyFill="1"/>
    <xf numFmtId="0" fontId="3" fillId="0" borderId="1" xfId="0" applyFont="1" applyBorder="1" applyAlignment="1"/>
    <xf numFmtId="0" fontId="8" fillId="0" borderId="0" xfId="1" applyFont="1" applyFill="1" applyBorder="1"/>
    <xf numFmtId="0" fontId="4" fillId="0" borderId="0" xfId="0" applyFont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8" fillId="0" borderId="1" xfId="1" applyFont="1" applyFill="1" applyBorder="1"/>
    <xf numFmtId="0" fontId="4" fillId="0" borderId="1" xfId="0" applyFont="1" applyFill="1" applyBorder="1" applyAlignment="1">
      <alignment horizontal="center"/>
    </xf>
    <xf numFmtId="0" fontId="7" fillId="0" borderId="0" xfId="1" applyFont="1" applyFill="1" applyBorder="1" applyAlignment="1">
      <alignment horizontal="left" vertical="center"/>
    </xf>
    <xf numFmtId="0" fontId="0" fillId="0" borderId="0" xfId="0" applyFill="1" applyBorder="1" applyAlignment="1">
      <alignment horizontal="left"/>
    </xf>
    <xf numFmtId="0" fontId="0" fillId="0" borderId="0" xfId="0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9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5" fillId="3" borderId="0" xfId="0" applyFont="1" applyFill="1" applyBorder="1"/>
    <xf numFmtId="0" fontId="8" fillId="3" borderId="0" xfId="1" applyFont="1" applyFill="1" applyBorder="1"/>
    <xf numFmtId="0" fontId="0" fillId="3" borderId="0" xfId="0" applyFill="1" applyBorder="1" applyAlignment="1">
      <alignment horizontal="left"/>
    </xf>
    <xf numFmtId="0" fontId="0" fillId="3" borderId="0" xfId="0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4" fillId="3" borderId="0" xfId="0" applyFont="1" applyFill="1" applyBorder="1" applyAlignment="1">
      <alignment horizontal="center"/>
    </xf>
    <xf numFmtId="1" fontId="6" fillId="3" borderId="0" xfId="0" applyNumberFormat="1" applyFont="1" applyFill="1" applyBorder="1" applyAlignment="1">
      <alignment horizontal="center"/>
    </xf>
    <xf numFmtId="0" fontId="6" fillId="3" borderId="0" xfId="0" applyFont="1" applyFill="1" applyBorder="1"/>
    <xf numFmtId="0" fontId="5" fillId="3" borderId="1" xfId="0" applyFont="1" applyFill="1" applyBorder="1"/>
    <xf numFmtId="0" fontId="6" fillId="3" borderId="1" xfId="0" applyFont="1" applyFill="1" applyBorder="1"/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4" fillId="3" borderId="1" xfId="0" quotePrefix="1" applyFont="1" applyFill="1" applyBorder="1" applyAlignment="1">
      <alignment horizontal="center"/>
    </xf>
    <xf numFmtId="1" fontId="6" fillId="3" borderId="1" xfId="0" applyNumberFormat="1" applyFont="1" applyFill="1" applyBorder="1" applyAlignment="1">
      <alignment horizontal="center"/>
    </xf>
    <xf numFmtId="0" fontId="5" fillId="4" borderId="0" xfId="0" applyFont="1" applyFill="1" applyBorder="1"/>
    <xf numFmtId="0" fontId="6" fillId="4" borderId="0" xfId="0" applyFont="1" applyFill="1" applyBorder="1"/>
    <xf numFmtId="0" fontId="0" fillId="4" borderId="0" xfId="0" applyFill="1" applyBorder="1" applyAlignment="1">
      <alignment horizontal="left"/>
    </xf>
    <xf numFmtId="0" fontId="0" fillId="4" borderId="0" xfId="0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4" fillId="4" borderId="0" xfId="0" applyFont="1" applyFill="1" applyBorder="1" applyAlignment="1">
      <alignment horizontal="center"/>
    </xf>
    <xf numFmtId="1" fontId="6" fillId="4" borderId="0" xfId="0" applyNumberFormat="1" applyFont="1" applyFill="1" applyBorder="1" applyAlignment="1">
      <alignment horizontal="center"/>
    </xf>
    <xf numFmtId="0" fontId="8" fillId="4" borderId="0" xfId="1" applyFont="1" applyFill="1" applyBorder="1"/>
    <xf numFmtId="0" fontId="5" fillId="5" borderId="0" xfId="0" applyFont="1" applyFill="1" applyBorder="1"/>
    <xf numFmtId="0" fontId="8" fillId="5" borderId="0" xfId="1" applyFont="1" applyFill="1" applyBorder="1"/>
    <xf numFmtId="0" fontId="0" fillId="5" borderId="0" xfId="0" applyFill="1" applyBorder="1" applyAlignment="1">
      <alignment horizontal="left"/>
    </xf>
    <xf numFmtId="1" fontId="0" fillId="5" borderId="0" xfId="0" applyNumberFormat="1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0" fontId="4" fillId="5" borderId="0" xfId="0" applyFont="1" applyFill="1" applyBorder="1" applyAlignment="1">
      <alignment horizontal="center"/>
    </xf>
    <xf numFmtId="1" fontId="6" fillId="5" borderId="0" xfId="0" applyNumberFormat="1" applyFont="1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6" fillId="5" borderId="0" xfId="0" applyFont="1" applyFill="1" applyBorder="1"/>
    <xf numFmtId="0" fontId="7" fillId="5" borderId="0" xfId="1" applyFont="1" applyFill="1" applyBorder="1" applyAlignment="1">
      <alignment horizontal="left" vertical="center"/>
    </xf>
    <xf numFmtId="0" fontId="5" fillId="6" borderId="0" xfId="0" applyFont="1" applyFill="1" applyBorder="1"/>
    <xf numFmtId="0" fontId="8" fillId="6" borderId="0" xfId="1" applyFont="1" applyFill="1" applyBorder="1"/>
    <xf numFmtId="0" fontId="0" fillId="6" borderId="0" xfId="0" applyFill="1" applyBorder="1" applyAlignment="1">
      <alignment horizontal="left"/>
    </xf>
    <xf numFmtId="0" fontId="0" fillId="6" borderId="0" xfId="0" applyFill="1" applyBorder="1" applyAlignment="1">
      <alignment horizontal="center"/>
    </xf>
    <xf numFmtId="0" fontId="5" fillId="6" borderId="0" xfId="0" applyFont="1" applyFill="1" applyAlignment="1">
      <alignment horizontal="center"/>
    </xf>
    <xf numFmtId="0" fontId="4" fillId="6" borderId="0" xfId="0" applyFont="1" applyFill="1" applyBorder="1" applyAlignment="1">
      <alignment horizontal="center"/>
    </xf>
    <xf numFmtId="1" fontId="6" fillId="6" borderId="0" xfId="0" applyNumberFormat="1" applyFont="1" applyFill="1" applyBorder="1" applyAlignment="1">
      <alignment horizontal="center"/>
    </xf>
    <xf numFmtId="0" fontId="5" fillId="6" borderId="0" xfId="0" applyFont="1" applyFill="1" applyBorder="1" applyAlignment="1">
      <alignment horizontal="center"/>
    </xf>
    <xf numFmtId="0" fontId="5" fillId="0" borderId="0" xfId="0" applyFont="1" applyFill="1" applyAlignment="1">
      <alignment horizontal="center"/>
    </xf>
    <xf numFmtId="1" fontId="6" fillId="0" borderId="0" xfId="0" applyNumberFormat="1" applyFont="1" applyFill="1" applyBorder="1" applyAlignment="1">
      <alignment horizontal="center"/>
    </xf>
    <xf numFmtId="0" fontId="6" fillId="0" borderId="0" xfId="0" applyFont="1" applyFill="1" applyBorder="1"/>
    <xf numFmtId="0" fontId="5" fillId="0" borderId="1" xfId="0" applyFont="1" applyFill="1" applyBorder="1"/>
    <xf numFmtId="0" fontId="6" fillId="0" borderId="1" xfId="0" applyFont="1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4" fillId="0" borderId="1" xfId="0" quotePrefix="1" applyFont="1" applyFill="1" applyBorder="1" applyAlignment="1">
      <alignment horizontal="center"/>
    </xf>
    <xf numFmtId="1" fontId="6" fillId="0" borderId="1" xfId="0" applyNumberFormat="1" applyFont="1" applyFill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</cellXfs>
  <cellStyles count="3">
    <cellStyle name="Hipervínculo 2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zoomScale="115" zoomScaleNormal="115" workbookViewId="0">
      <selection activeCell="A2" sqref="A2"/>
    </sheetView>
  </sheetViews>
  <sheetFormatPr defaultColWidth="9.140625" defaultRowHeight="15" x14ac:dyDescent="0.25"/>
  <cols>
    <col min="1" max="1" width="9.140625" style="1"/>
    <col min="2" max="2" width="13.85546875" style="1" customWidth="1"/>
    <col min="3" max="3" width="34.7109375" style="1" bestFit="1" customWidth="1"/>
    <col min="4" max="4" width="39.7109375" style="1" customWidth="1"/>
    <col min="5" max="5" width="19.85546875" style="1" customWidth="1"/>
    <col min="6" max="7" width="10.7109375" style="1" bestFit="1" customWidth="1"/>
    <col min="8" max="8" width="11.140625" style="1" bestFit="1" customWidth="1"/>
    <col min="9" max="9" width="11.42578125" style="1" bestFit="1" customWidth="1"/>
    <col min="10" max="16384" width="9.140625" style="1"/>
  </cols>
  <sheetData>
    <row r="1" spans="1:10" x14ac:dyDescent="0.25">
      <c r="A1" s="16" t="s">
        <v>4</v>
      </c>
      <c r="B1" s="6" t="s">
        <v>5</v>
      </c>
      <c r="C1" s="6" t="s">
        <v>6</v>
      </c>
      <c r="D1" s="6" t="s">
        <v>7</v>
      </c>
      <c r="E1" s="17" t="s">
        <v>0</v>
      </c>
      <c r="F1" s="17" t="s">
        <v>1</v>
      </c>
      <c r="G1" s="17" t="s">
        <v>2</v>
      </c>
      <c r="H1" s="18" t="s">
        <v>3</v>
      </c>
    </row>
    <row r="2" spans="1:10" ht="15.75" x14ac:dyDescent="0.25">
      <c r="A2" s="42">
        <v>1</v>
      </c>
      <c r="B2" s="50"/>
      <c r="C2" s="44" t="s">
        <v>26</v>
      </c>
      <c r="D2" s="49">
        <v>114710995</v>
      </c>
      <c r="E2" s="46">
        <v>100</v>
      </c>
      <c r="F2" s="47">
        <v>96</v>
      </c>
      <c r="G2" s="47">
        <v>98</v>
      </c>
      <c r="H2" s="48">
        <f>E2*$E$25+F2*$F$25+G2*$G$25</f>
        <v>97.600000000000009</v>
      </c>
      <c r="I2" s="2"/>
    </row>
    <row r="3" spans="1:10" ht="15.75" x14ac:dyDescent="0.25">
      <c r="A3" s="42">
        <v>2</v>
      </c>
      <c r="B3" s="51"/>
      <c r="C3" s="44" t="s">
        <v>8</v>
      </c>
      <c r="D3" s="49">
        <v>402210742</v>
      </c>
      <c r="E3" s="46">
        <v>100</v>
      </c>
      <c r="F3" s="47">
        <v>96</v>
      </c>
      <c r="G3" s="47">
        <v>98</v>
      </c>
      <c r="H3" s="48">
        <f t="shared" ref="H3:H25" si="0">E3*$E$25+F3*$F$25+G3*$G$25</f>
        <v>97.600000000000009</v>
      </c>
      <c r="I3" s="2"/>
    </row>
    <row r="4" spans="1:10" ht="15.75" x14ac:dyDescent="0.25">
      <c r="A4" s="42">
        <v>3</v>
      </c>
      <c r="B4" s="43"/>
      <c r="C4" s="44" t="s">
        <v>9</v>
      </c>
      <c r="D4" s="49">
        <v>402170057</v>
      </c>
      <c r="E4" s="46">
        <v>100</v>
      </c>
      <c r="F4" s="47">
        <v>96</v>
      </c>
      <c r="G4" s="47">
        <v>98</v>
      </c>
      <c r="H4" s="48">
        <f t="shared" si="0"/>
        <v>97.600000000000009</v>
      </c>
      <c r="I4" s="2"/>
    </row>
    <row r="5" spans="1:10" ht="15.75" x14ac:dyDescent="0.25">
      <c r="A5" s="42">
        <v>4</v>
      </c>
      <c r="B5" s="43"/>
      <c r="C5" s="44" t="s">
        <v>10</v>
      </c>
      <c r="D5" s="49">
        <v>402040981</v>
      </c>
      <c r="E5" s="46">
        <v>100</v>
      </c>
      <c r="F5" s="47">
        <v>96</v>
      </c>
      <c r="G5" s="47">
        <v>98</v>
      </c>
      <c r="H5" s="48">
        <f t="shared" si="0"/>
        <v>97.600000000000009</v>
      </c>
      <c r="I5" s="2"/>
    </row>
    <row r="6" spans="1:10" ht="15.75" x14ac:dyDescent="0.25">
      <c r="A6" s="19">
        <v>5</v>
      </c>
      <c r="B6" s="20"/>
      <c r="C6" s="21" t="s">
        <v>11</v>
      </c>
      <c r="D6" s="22">
        <v>113580327</v>
      </c>
      <c r="E6" s="23">
        <v>100</v>
      </c>
      <c r="F6" s="24">
        <v>96</v>
      </c>
      <c r="G6" s="24">
        <v>95</v>
      </c>
      <c r="H6" s="25">
        <f t="shared" si="0"/>
        <v>96.4</v>
      </c>
      <c r="I6" s="2"/>
    </row>
    <row r="7" spans="1:10" ht="15.75" x14ac:dyDescent="0.25">
      <c r="A7" s="52">
        <v>6</v>
      </c>
      <c r="B7" s="53"/>
      <c r="C7" s="54" t="s">
        <v>12</v>
      </c>
      <c r="D7" s="55">
        <v>115400477</v>
      </c>
      <c r="E7" s="56">
        <v>100</v>
      </c>
      <c r="F7" s="57">
        <v>98</v>
      </c>
      <c r="G7" s="57">
        <v>95</v>
      </c>
      <c r="H7" s="58">
        <f t="shared" si="0"/>
        <v>97.2</v>
      </c>
      <c r="I7" s="4"/>
      <c r="J7" s="5"/>
    </row>
    <row r="8" spans="1:10" ht="15.75" x14ac:dyDescent="0.25">
      <c r="A8" s="52">
        <v>7</v>
      </c>
      <c r="B8" s="52"/>
      <c r="C8" s="54" t="s">
        <v>30</v>
      </c>
      <c r="D8" s="55">
        <v>603790516</v>
      </c>
      <c r="E8" s="59">
        <v>100</v>
      </c>
      <c r="F8" s="57">
        <v>98</v>
      </c>
      <c r="G8" s="57">
        <v>95</v>
      </c>
      <c r="H8" s="58">
        <f t="shared" si="0"/>
        <v>97.2</v>
      </c>
      <c r="I8" s="4"/>
      <c r="J8" s="5"/>
    </row>
    <row r="9" spans="1:10" ht="15.75" x14ac:dyDescent="0.25">
      <c r="A9" s="34">
        <v>8</v>
      </c>
      <c r="B9" s="35"/>
      <c r="C9" s="36" t="s">
        <v>27</v>
      </c>
      <c r="D9" s="37">
        <v>115320480</v>
      </c>
      <c r="E9" s="38">
        <v>100</v>
      </c>
      <c r="F9" s="39">
        <v>95</v>
      </c>
      <c r="G9" s="39">
        <v>97</v>
      </c>
      <c r="H9" s="40">
        <f t="shared" si="0"/>
        <v>96.800000000000011</v>
      </c>
      <c r="I9" s="4"/>
      <c r="J9" s="5"/>
    </row>
    <row r="10" spans="1:10" ht="15.75" x14ac:dyDescent="0.25">
      <c r="A10" s="34">
        <v>9</v>
      </c>
      <c r="B10" s="41"/>
      <c r="C10" s="36" t="s">
        <v>13</v>
      </c>
      <c r="D10" s="37">
        <v>113780679</v>
      </c>
      <c r="E10" s="38">
        <v>100</v>
      </c>
      <c r="F10" s="39">
        <v>95</v>
      </c>
      <c r="G10" s="39">
        <v>97</v>
      </c>
      <c r="H10" s="40">
        <f t="shared" si="0"/>
        <v>96.800000000000011</v>
      </c>
      <c r="I10" s="4"/>
      <c r="J10" s="5"/>
    </row>
    <row r="11" spans="1:10" ht="15.75" x14ac:dyDescent="0.25">
      <c r="A11" s="52">
        <v>10</v>
      </c>
      <c r="B11" s="53"/>
      <c r="C11" s="54" t="s">
        <v>14</v>
      </c>
      <c r="D11" s="55">
        <v>206270755</v>
      </c>
      <c r="E11" s="56">
        <v>100</v>
      </c>
      <c r="F11" s="57">
        <v>98</v>
      </c>
      <c r="G11" s="57">
        <v>95</v>
      </c>
      <c r="H11" s="58">
        <f t="shared" si="0"/>
        <v>97.2</v>
      </c>
      <c r="I11" s="4"/>
      <c r="J11" s="5"/>
    </row>
    <row r="12" spans="1:10" ht="15.75" customHeight="1" x14ac:dyDescent="0.25">
      <c r="A12" s="52">
        <v>11</v>
      </c>
      <c r="B12" s="53"/>
      <c r="C12" s="54" t="s">
        <v>15</v>
      </c>
      <c r="D12" s="55">
        <v>110440926</v>
      </c>
      <c r="E12" s="56">
        <v>100</v>
      </c>
      <c r="F12" s="57">
        <v>98</v>
      </c>
      <c r="G12" s="57">
        <v>95</v>
      </c>
      <c r="H12" s="58">
        <f t="shared" si="0"/>
        <v>97.2</v>
      </c>
      <c r="I12" s="4"/>
      <c r="J12" s="5"/>
    </row>
    <row r="13" spans="1:10" ht="15.75" customHeight="1" x14ac:dyDescent="0.25">
      <c r="A13" s="52">
        <v>12</v>
      </c>
      <c r="B13" s="53"/>
      <c r="C13" s="54" t="s">
        <v>16</v>
      </c>
      <c r="D13" s="55">
        <v>113110175</v>
      </c>
      <c r="E13" s="56">
        <v>100</v>
      </c>
      <c r="F13" s="57">
        <v>98</v>
      </c>
      <c r="G13" s="57">
        <v>95</v>
      </c>
      <c r="H13" s="58">
        <f t="shared" si="0"/>
        <v>97.2</v>
      </c>
      <c r="I13" s="4"/>
      <c r="J13" s="5"/>
    </row>
    <row r="14" spans="1:10" ht="15.75" customHeight="1" x14ac:dyDescent="0.25">
      <c r="A14" s="52">
        <v>13</v>
      </c>
      <c r="B14" s="52"/>
      <c r="C14" s="54" t="s">
        <v>29</v>
      </c>
      <c r="D14" s="55">
        <v>206610588</v>
      </c>
      <c r="E14" s="56">
        <v>100</v>
      </c>
      <c r="F14" s="57">
        <v>98</v>
      </c>
      <c r="G14" s="57">
        <v>95</v>
      </c>
      <c r="H14" s="58">
        <f t="shared" si="0"/>
        <v>97.2</v>
      </c>
      <c r="I14" s="4"/>
      <c r="J14" s="5"/>
    </row>
    <row r="15" spans="1:10" ht="15.75" customHeight="1" x14ac:dyDescent="0.25">
      <c r="A15" s="34">
        <v>14</v>
      </c>
      <c r="B15" s="41"/>
      <c r="C15" s="36" t="s">
        <v>17</v>
      </c>
      <c r="D15" s="37">
        <v>114990838</v>
      </c>
      <c r="E15" s="38">
        <v>100</v>
      </c>
      <c r="F15" s="39">
        <v>95</v>
      </c>
      <c r="G15" s="39">
        <v>97</v>
      </c>
      <c r="H15" s="40">
        <f t="shared" si="0"/>
        <v>96.800000000000011</v>
      </c>
      <c r="I15" s="4"/>
      <c r="J15" s="5"/>
    </row>
    <row r="16" spans="1:10" ht="15.75" customHeight="1" x14ac:dyDescent="0.25">
      <c r="A16" s="19">
        <v>15</v>
      </c>
      <c r="B16" s="26"/>
      <c r="C16" s="21" t="s">
        <v>28</v>
      </c>
      <c r="D16" s="22">
        <v>114030508</v>
      </c>
      <c r="E16" s="23">
        <v>100</v>
      </c>
      <c r="F16" s="24">
        <v>96</v>
      </c>
      <c r="G16" s="24">
        <v>95</v>
      </c>
      <c r="H16" s="25">
        <f t="shared" si="0"/>
        <v>96.4</v>
      </c>
      <c r="I16" s="4"/>
      <c r="J16" s="5"/>
    </row>
    <row r="17" spans="1:10" ht="15.75" customHeight="1" x14ac:dyDescent="0.25">
      <c r="A17" s="19">
        <v>16</v>
      </c>
      <c r="B17" s="20"/>
      <c r="C17" s="21" t="s">
        <v>18</v>
      </c>
      <c r="D17" s="22">
        <v>206720118</v>
      </c>
      <c r="E17" s="23">
        <v>100</v>
      </c>
      <c r="F17" s="24">
        <v>96</v>
      </c>
      <c r="G17" s="24">
        <v>95</v>
      </c>
      <c r="H17" s="25">
        <f t="shared" si="0"/>
        <v>96.4</v>
      </c>
      <c r="I17" s="4"/>
      <c r="J17" s="5"/>
    </row>
    <row r="18" spans="1:10" ht="16.5" customHeight="1" x14ac:dyDescent="0.25">
      <c r="A18" s="42">
        <v>17</v>
      </c>
      <c r="B18" s="43"/>
      <c r="C18" s="44" t="s">
        <v>19</v>
      </c>
      <c r="D18" s="45">
        <v>186200298808</v>
      </c>
      <c r="E18" s="46">
        <v>100</v>
      </c>
      <c r="F18" s="47">
        <v>96</v>
      </c>
      <c r="G18" s="47">
        <v>98</v>
      </c>
      <c r="H18" s="48">
        <f t="shared" si="0"/>
        <v>97.600000000000009</v>
      </c>
      <c r="I18" s="4"/>
      <c r="J18" s="5"/>
    </row>
    <row r="19" spans="1:10" ht="15.75" customHeight="1" x14ac:dyDescent="0.25">
      <c r="A19" s="42">
        <v>18</v>
      </c>
      <c r="B19" s="43"/>
      <c r="C19" s="44" t="s">
        <v>20</v>
      </c>
      <c r="D19" s="49">
        <v>115530181</v>
      </c>
      <c r="E19" s="46">
        <v>100</v>
      </c>
      <c r="F19" s="47">
        <v>96</v>
      </c>
      <c r="G19" s="47">
        <v>98</v>
      </c>
      <c r="H19" s="48">
        <f t="shared" si="0"/>
        <v>97.600000000000009</v>
      </c>
      <c r="I19" s="2"/>
    </row>
    <row r="20" spans="1:10" ht="15" customHeight="1" x14ac:dyDescent="0.25">
      <c r="A20" s="19">
        <v>19</v>
      </c>
      <c r="B20" s="20"/>
      <c r="C20" s="21" t="s">
        <v>21</v>
      </c>
      <c r="D20" s="22">
        <v>112450211</v>
      </c>
      <c r="E20" s="23">
        <v>100</v>
      </c>
      <c r="F20" s="24">
        <v>96</v>
      </c>
      <c r="G20" s="24">
        <v>95</v>
      </c>
      <c r="H20" s="25">
        <f t="shared" si="0"/>
        <v>96.4</v>
      </c>
    </row>
    <row r="21" spans="1:10" ht="15" customHeight="1" x14ac:dyDescent="0.25">
      <c r="A21" s="34">
        <v>20</v>
      </c>
      <c r="B21" s="41"/>
      <c r="C21" s="36" t="s">
        <v>22</v>
      </c>
      <c r="D21" s="37">
        <v>114300703</v>
      </c>
      <c r="E21" s="38">
        <v>100</v>
      </c>
      <c r="F21" s="39">
        <v>95</v>
      </c>
      <c r="G21" s="39">
        <v>97</v>
      </c>
      <c r="H21" s="40">
        <f t="shared" si="0"/>
        <v>96.800000000000011</v>
      </c>
    </row>
    <row r="22" spans="1:10" ht="15" customHeight="1" x14ac:dyDescent="0.25">
      <c r="A22" s="34">
        <v>21</v>
      </c>
      <c r="B22" s="41"/>
      <c r="C22" s="36" t="s">
        <v>23</v>
      </c>
      <c r="D22" s="37">
        <v>113300343</v>
      </c>
      <c r="E22" s="38">
        <v>100</v>
      </c>
      <c r="F22" s="39">
        <v>95</v>
      </c>
      <c r="G22" s="39">
        <v>97</v>
      </c>
      <c r="H22" s="40">
        <f t="shared" si="0"/>
        <v>96.800000000000011</v>
      </c>
    </row>
    <row r="23" spans="1:10" ht="15.75" x14ac:dyDescent="0.25">
      <c r="A23" s="19">
        <v>22</v>
      </c>
      <c r="B23" s="20"/>
      <c r="C23" s="21" t="s">
        <v>24</v>
      </c>
      <c r="D23" s="22">
        <v>401420281</v>
      </c>
      <c r="E23" s="23">
        <v>100</v>
      </c>
      <c r="F23" s="24">
        <v>96</v>
      </c>
      <c r="G23" s="24">
        <v>95</v>
      </c>
      <c r="H23" s="25">
        <f t="shared" si="0"/>
        <v>96.4</v>
      </c>
    </row>
    <row r="24" spans="1:10" ht="15.75" x14ac:dyDescent="0.25">
      <c r="A24" s="27">
        <v>23</v>
      </c>
      <c r="B24" s="28"/>
      <c r="C24" s="29" t="s">
        <v>25</v>
      </c>
      <c r="D24" s="30">
        <v>206670183</v>
      </c>
      <c r="E24" s="31">
        <v>100</v>
      </c>
      <c r="F24" s="32">
        <v>96</v>
      </c>
      <c r="G24" s="32">
        <v>95</v>
      </c>
      <c r="H24" s="33">
        <f t="shared" si="0"/>
        <v>96.4</v>
      </c>
    </row>
    <row r="25" spans="1:10" ht="15.75" x14ac:dyDescent="0.25">
      <c r="A25" s="2"/>
      <c r="B25" s="2"/>
      <c r="C25" s="2"/>
      <c r="D25" s="2"/>
      <c r="E25" s="15">
        <v>0.2</v>
      </c>
      <c r="F25" s="8">
        <v>0.4</v>
      </c>
      <c r="G25" s="8">
        <v>0.4</v>
      </c>
      <c r="H25" s="3"/>
    </row>
  </sheetData>
  <sortState ref="A2:H24">
    <sortCondition ref="C2:C24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"/>
  <sheetViews>
    <sheetView tabSelected="1" zoomScale="160" zoomScaleNormal="160" workbookViewId="0">
      <selection activeCell="B10" sqref="B10"/>
    </sheetView>
  </sheetViews>
  <sheetFormatPr defaultColWidth="9.140625" defaultRowHeight="15" x14ac:dyDescent="0.25"/>
  <cols>
    <col min="1" max="1" width="9.140625" style="1"/>
    <col min="2" max="2" width="13.85546875" style="1" customWidth="1"/>
    <col min="3" max="3" width="34.7109375" style="1" bestFit="1" customWidth="1"/>
    <col min="4" max="4" width="39.7109375" style="1" customWidth="1"/>
    <col min="5" max="5" width="19.85546875" style="1" customWidth="1"/>
    <col min="6" max="7" width="10.7109375" style="1" bestFit="1" customWidth="1"/>
    <col min="8" max="8" width="11.140625" style="1" bestFit="1" customWidth="1"/>
    <col min="9" max="9" width="11.42578125" style="1" bestFit="1" customWidth="1"/>
    <col min="10" max="16384" width="9.140625" style="1"/>
  </cols>
  <sheetData>
    <row r="1" spans="1:10" x14ac:dyDescent="0.25">
      <c r="A1" s="16" t="s">
        <v>4</v>
      </c>
      <c r="B1" s="6" t="s">
        <v>5</v>
      </c>
      <c r="C1" s="6" t="s">
        <v>6</v>
      </c>
      <c r="D1" s="6" t="s">
        <v>7</v>
      </c>
      <c r="E1" s="17" t="s">
        <v>0</v>
      </c>
      <c r="F1" s="17" t="s">
        <v>1</v>
      </c>
      <c r="G1" s="17" t="s">
        <v>2</v>
      </c>
      <c r="H1" s="18" t="s">
        <v>3</v>
      </c>
    </row>
    <row r="2" spans="1:10" ht="15.75" x14ac:dyDescent="0.25">
      <c r="A2" s="4">
        <v>5</v>
      </c>
      <c r="B2" s="7"/>
      <c r="C2" s="13" t="s">
        <v>11</v>
      </c>
      <c r="D2" s="14">
        <v>113580327</v>
      </c>
      <c r="E2" s="60">
        <v>100</v>
      </c>
      <c r="F2" s="9">
        <v>96</v>
      </c>
      <c r="G2" s="9">
        <v>95</v>
      </c>
      <c r="H2" s="61">
        <f>E2*$E$8+F2*$F$8+G2*$G$8</f>
        <v>96.4</v>
      </c>
      <c r="I2" s="2"/>
    </row>
    <row r="3" spans="1:10" ht="15.75" customHeight="1" x14ac:dyDescent="0.25">
      <c r="A3" s="4">
        <v>15</v>
      </c>
      <c r="B3" s="62"/>
      <c r="C3" s="13" t="s">
        <v>28</v>
      </c>
      <c r="D3" s="14">
        <v>114030508</v>
      </c>
      <c r="E3" s="60">
        <v>100</v>
      </c>
      <c r="F3" s="9">
        <v>96</v>
      </c>
      <c r="G3" s="9">
        <v>95</v>
      </c>
      <c r="H3" s="61">
        <f>E3*$E$8+F3*$F$8+G3*$G$8</f>
        <v>96.4</v>
      </c>
      <c r="I3" s="4"/>
      <c r="J3" s="5"/>
    </row>
    <row r="4" spans="1:10" ht="19.5" customHeight="1" x14ac:dyDescent="0.25">
      <c r="A4" s="4">
        <v>16</v>
      </c>
      <c r="B4" s="7"/>
      <c r="C4" s="13" t="s">
        <v>18</v>
      </c>
      <c r="D4" s="14">
        <v>206720118</v>
      </c>
      <c r="E4" s="60">
        <v>100</v>
      </c>
      <c r="F4" s="9">
        <v>96</v>
      </c>
      <c r="G4" s="9">
        <v>95</v>
      </c>
      <c r="H4" s="61">
        <f>E4*$E$8+F4*$F$8+G4*$G$8</f>
        <v>96.4</v>
      </c>
      <c r="I4" s="4"/>
      <c r="J4" s="5"/>
    </row>
    <row r="5" spans="1:10" ht="15" customHeight="1" x14ac:dyDescent="0.25">
      <c r="A5" s="4">
        <v>19</v>
      </c>
      <c r="B5" s="7"/>
      <c r="C5" s="13" t="s">
        <v>21</v>
      </c>
      <c r="D5" s="14">
        <v>112450211</v>
      </c>
      <c r="E5" s="60">
        <v>100</v>
      </c>
      <c r="F5" s="9">
        <v>96</v>
      </c>
      <c r="G5" s="9">
        <v>95</v>
      </c>
      <c r="H5" s="61">
        <f>E5*$E$8+F5*$F$8+G5*$G$8</f>
        <v>96.4</v>
      </c>
    </row>
    <row r="6" spans="1:10" ht="15.75" x14ac:dyDescent="0.25">
      <c r="A6" s="4">
        <v>22</v>
      </c>
      <c r="B6" s="7"/>
      <c r="C6" s="13" t="s">
        <v>24</v>
      </c>
      <c r="D6" s="14">
        <v>401420281</v>
      </c>
      <c r="E6" s="60">
        <v>100</v>
      </c>
      <c r="F6" s="9">
        <v>96</v>
      </c>
      <c r="G6" s="9">
        <v>95</v>
      </c>
      <c r="H6" s="61">
        <f>E6*$E$8+F6*$F$8+G6*$G$8</f>
        <v>96.4</v>
      </c>
    </row>
    <row r="7" spans="1:10" ht="15.75" x14ac:dyDescent="0.25">
      <c r="A7" s="63">
        <v>23</v>
      </c>
      <c r="B7" s="64"/>
      <c r="C7" s="65" t="s">
        <v>25</v>
      </c>
      <c r="D7" s="66">
        <v>206670183</v>
      </c>
      <c r="E7" s="67">
        <v>100</v>
      </c>
      <c r="F7" s="68">
        <v>96</v>
      </c>
      <c r="G7" s="68">
        <v>95</v>
      </c>
      <c r="H7" s="69">
        <f>E7*$E$8+F7*$F$8+G7*$G$8</f>
        <v>96.4</v>
      </c>
    </row>
    <row r="8" spans="1:10" ht="15.75" x14ac:dyDescent="0.25">
      <c r="A8" s="2"/>
      <c r="B8" s="2"/>
      <c r="C8" s="2"/>
      <c r="D8" s="2"/>
      <c r="E8" s="15">
        <v>0.2</v>
      </c>
      <c r="F8" s="8">
        <v>0.4</v>
      </c>
      <c r="G8" s="8">
        <v>0.4</v>
      </c>
      <c r="H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"/>
  <sheetViews>
    <sheetView zoomScale="160" zoomScaleNormal="160" workbookViewId="0">
      <selection activeCell="A6" sqref="A6:H6"/>
    </sheetView>
  </sheetViews>
  <sheetFormatPr defaultColWidth="9.140625" defaultRowHeight="15" x14ac:dyDescent="0.25"/>
  <cols>
    <col min="1" max="1" width="9.140625" style="1"/>
    <col min="2" max="2" width="13.85546875" style="1" customWidth="1"/>
    <col min="3" max="3" width="34.7109375" style="1" bestFit="1" customWidth="1"/>
    <col min="4" max="4" width="39.7109375" style="1" customWidth="1"/>
    <col min="5" max="5" width="19.85546875" style="1" customWidth="1"/>
    <col min="6" max="7" width="10.7109375" style="1" bestFit="1" customWidth="1"/>
    <col min="8" max="8" width="11.140625" style="1" bestFit="1" customWidth="1"/>
    <col min="9" max="9" width="11.42578125" style="1" bestFit="1" customWidth="1"/>
    <col min="10" max="16384" width="9.140625" style="1"/>
  </cols>
  <sheetData>
    <row r="1" spans="1:10" x14ac:dyDescent="0.25">
      <c r="A1" s="16" t="s">
        <v>4</v>
      </c>
      <c r="B1" s="6" t="s">
        <v>5</v>
      </c>
      <c r="C1" s="6" t="s">
        <v>6</v>
      </c>
      <c r="D1" s="6" t="s">
        <v>7</v>
      </c>
      <c r="E1" s="17" t="s">
        <v>0</v>
      </c>
      <c r="F1" s="17" t="s">
        <v>1</v>
      </c>
      <c r="G1" s="17" t="s">
        <v>2</v>
      </c>
      <c r="H1" s="18" t="s">
        <v>3</v>
      </c>
    </row>
    <row r="2" spans="1:10" ht="15.75" x14ac:dyDescent="0.25">
      <c r="A2" s="4">
        <v>8</v>
      </c>
      <c r="B2" s="62"/>
      <c r="C2" s="13" t="s">
        <v>27</v>
      </c>
      <c r="D2" s="14">
        <v>115320480</v>
      </c>
      <c r="E2" s="60">
        <v>100</v>
      </c>
      <c r="F2" s="9">
        <v>95</v>
      </c>
      <c r="G2" s="9">
        <v>97</v>
      </c>
      <c r="H2" s="61">
        <f>E2*$E$7+F2*$F$7+G2*$G$7</f>
        <v>96.800000000000011</v>
      </c>
      <c r="I2" s="4"/>
      <c r="J2" s="5"/>
    </row>
    <row r="3" spans="1:10" ht="15.75" x14ac:dyDescent="0.25">
      <c r="A3" s="4">
        <v>9</v>
      </c>
      <c r="B3" s="7"/>
      <c r="C3" s="13" t="s">
        <v>13</v>
      </c>
      <c r="D3" s="14">
        <v>113780679</v>
      </c>
      <c r="E3" s="60">
        <v>100</v>
      </c>
      <c r="F3" s="9">
        <v>95</v>
      </c>
      <c r="G3" s="9">
        <v>97</v>
      </c>
      <c r="H3" s="61">
        <f>E3*$E$7+F3*$F$7+G3*$G$7</f>
        <v>96.800000000000011</v>
      </c>
      <c r="I3" s="4"/>
      <c r="J3" s="5"/>
    </row>
    <row r="4" spans="1:10" ht="15.75" customHeight="1" x14ac:dyDescent="0.25">
      <c r="A4" s="4">
        <v>14</v>
      </c>
      <c r="B4" s="7"/>
      <c r="C4" s="13" t="s">
        <v>17</v>
      </c>
      <c r="D4" s="14">
        <v>114990838</v>
      </c>
      <c r="E4" s="60">
        <v>100</v>
      </c>
      <c r="F4" s="9">
        <v>95</v>
      </c>
      <c r="G4" s="9">
        <v>97</v>
      </c>
      <c r="H4" s="61">
        <f>E4*$E$7+F4*$F$7+G4*$G$7</f>
        <v>96.800000000000011</v>
      </c>
      <c r="I4" s="4"/>
      <c r="J4" s="5"/>
    </row>
    <row r="5" spans="1:10" ht="15" customHeight="1" x14ac:dyDescent="0.25">
      <c r="A5" s="4">
        <v>20</v>
      </c>
      <c r="B5" s="7"/>
      <c r="C5" s="13" t="s">
        <v>22</v>
      </c>
      <c r="D5" s="14">
        <v>114300703</v>
      </c>
      <c r="E5" s="60">
        <v>100</v>
      </c>
      <c r="F5" s="9">
        <v>95</v>
      </c>
      <c r="G5" s="9">
        <v>97</v>
      </c>
      <c r="H5" s="61">
        <f>E5*$E$7+F5*$F$7+G5*$G$7</f>
        <v>96.800000000000011</v>
      </c>
    </row>
    <row r="6" spans="1:10" ht="15" customHeight="1" x14ac:dyDescent="0.25">
      <c r="A6" s="63">
        <v>21</v>
      </c>
      <c r="B6" s="10"/>
      <c r="C6" s="65" t="s">
        <v>23</v>
      </c>
      <c r="D6" s="66">
        <v>113300343</v>
      </c>
      <c r="E6" s="67">
        <v>100</v>
      </c>
      <c r="F6" s="11">
        <v>95</v>
      </c>
      <c r="G6" s="11">
        <v>97</v>
      </c>
      <c r="H6" s="69">
        <f>E6*$E$7+F6*$F$7+G6*$G$7</f>
        <v>96.800000000000011</v>
      </c>
    </row>
    <row r="7" spans="1:10" ht="15.75" x14ac:dyDescent="0.25">
      <c r="A7" s="2"/>
      <c r="B7" s="2"/>
      <c r="C7" s="2"/>
      <c r="D7" s="2"/>
      <c r="E7" s="15">
        <v>0.2</v>
      </c>
      <c r="F7" s="8">
        <v>0.4</v>
      </c>
      <c r="G7" s="8">
        <v>0.4</v>
      </c>
      <c r="H7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8"/>
  <sheetViews>
    <sheetView zoomScale="160" zoomScaleNormal="160" workbookViewId="0">
      <selection activeCell="C12" sqref="C12"/>
    </sheetView>
  </sheetViews>
  <sheetFormatPr defaultColWidth="9.140625" defaultRowHeight="15" x14ac:dyDescent="0.25"/>
  <cols>
    <col min="1" max="1" width="9.140625" style="1"/>
    <col min="2" max="2" width="13.85546875" style="1" customWidth="1"/>
    <col min="3" max="3" width="34.7109375" style="1" bestFit="1" customWidth="1"/>
    <col min="4" max="4" width="39.7109375" style="1" customWidth="1"/>
    <col min="5" max="5" width="19.85546875" style="1" customWidth="1"/>
    <col min="6" max="7" width="10.7109375" style="1" bestFit="1" customWidth="1"/>
    <col min="8" max="8" width="11.140625" style="1" bestFit="1" customWidth="1"/>
    <col min="9" max="9" width="11.42578125" style="1" bestFit="1" customWidth="1"/>
    <col min="10" max="16384" width="9.140625" style="1"/>
  </cols>
  <sheetData>
    <row r="1" spans="1:10" x14ac:dyDescent="0.25">
      <c r="A1" s="16" t="s">
        <v>4</v>
      </c>
      <c r="B1" s="6" t="s">
        <v>5</v>
      </c>
      <c r="C1" s="6" t="s">
        <v>6</v>
      </c>
      <c r="D1" s="6" t="s">
        <v>7</v>
      </c>
      <c r="E1" s="17" t="s">
        <v>0</v>
      </c>
      <c r="F1" s="17" t="s">
        <v>1</v>
      </c>
      <c r="G1" s="17" t="s">
        <v>2</v>
      </c>
      <c r="H1" s="18" t="s">
        <v>3</v>
      </c>
    </row>
    <row r="2" spans="1:10" ht="15.75" x14ac:dyDescent="0.25">
      <c r="A2" s="4">
        <v>1</v>
      </c>
      <c r="B2" s="62"/>
      <c r="C2" s="13" t="s">
        <v>26</v>
      </c>
      <c r="D2" s="14">
        <v>114710995</v>
      </c>
      <c r="E2" s="60">
        <v>100</v>
      </c>
      <c r="F2" s="9">
        <v>96</v>
      </c>
      <c r="G2" s="9">
        <v>98</v>
      </c>
      <c r="H2" s="61">
        <f>E2*$E$8+F2*$F$8+G2*$G$8</f>
        <v>97.600000000000009</v>
      </c>
      <c r="I2" s="2"/>
    </row>
    <row r="3" spans="1:10" ht="15.75" x14ac:dyDescent="0.25">
      <c r="A3" s="4">
        <v>2</v>
      </c>
      <c r="B3" s="12"/>
      <c r="C3" s="13" t="s">
        <v>8</v>
      </c>
      <c r="D3" s="14">
        <v>402210742</v>
      </c>
      <c r="E3" s="60">
        <v>100</v>
      </c>
      <c r="F3" s="9">
        <v>96</v>
      </c>
      <c r="G3" s="9">
        <v>98</v>
      </c>
      <c r="H3" s="61">
        <f>E3*$E$8+F3*$F$8+G3*$G$8</f>
        <v>97.600000000000009</v>
      </c>
      <c r="I3" s="2"/>
    </row>
    <row r="4" spans="1:10" ht="15.75" x14ac:dyDescent="0.25">
      <c r="A4" s="4">
        <v>3</v>
      </c>
      <c r="B4" s="7"/>
      <c r="C4" s="13" t="s">
        <v>9</v>
      </c>
      <c r="D4" s="14">
        <v>402170057</v>
      </c>
      <c r="E4" s="60">
        <v>100</v>
      </c>
      <c r="F4" s="9">
        <v>96</v>
      </c>
      <c r="G4" s="9">
        <v>98</v>
      </c>
      <c r="H4" s="61">
        <f>E4*$E$8+F4*$F$8+G4*$G$8</f>
        <v>97.600000000000009</v>
      </c>
      <c r="I4" s="2"/>
    </row>
    <row r="5" spans="1:10" ht="15.75" x14ac:dyDescent="0.25">
      <c r="A5" s="4">
        <v>4</v>
      </c>
      <c r="B5" s="7"/>
      <c r="C5" s="13" t="s">
        <v>10</v>
      </c>
      <c r="D5" s="14">
        <v>402040981</v>
      </c>
      <c r="E5" s="60">
        <v>100</v>
      </c>
      <c r="F5" s="9">
        <v>96</v>
      </c>
      <c r="G5" s="9">
        <v>98</v>
      </c>
      <c r="H5" s="61">
        <f>E5*$E$8+F5*$F$8+G5*$G$8</f>
        <v>97.600000000000009</v>
      </c>
      <c r="I5" s="2"/>
    </row>
    <row r="6" spans="1:10" ht="16.5" customHeight="1" x14ac:dyDescent="0.25">
      <c r="A6" s="4">
        <v>17</v>
      </c>
      <c r="B6" s="7"/>
      <c r="C6" s="13" t="s">
        <v>19</v>
      </c>
      <c r="D6" s="70">
        <v>186200298808</v>
      </c>
      <c r="E6" s="60">
        <v>100</v>
      </c>
      <c r="F6" s="9">
        <v>96</v>
      </c>
      <c r="G6" s="9">
        <v>98</v>
      </c>
      <c r="H6" s="61">
        <f>E6*$E$8+F6*$F$8+G6*$G$8</f>
        <v>97.600000000000009</v>
      </c>
      <c r="I6" s="4"/>
      <c r="J6" s="5"/>
    </row>
    <row r="7" spans="1:10" ht="15.75" customHeight="1" x14ac:dyDescent="0.25">
      <c r="A7" s="63">
        <v>18</v>
      </c>
      <c r="B7" s="10"/>
      <c r="C7" s="65" t="s">
        <v>20</v>
      </c>
      <c r="D7" s="66">
        <v>115530181</v>
      </c>
      <c r="E7" s="67">
        <v>100</v>
      </c>
      <c r="F7" s="11">
        <v>96</v>
      </c>
      <c r="G7" s="11">
        <v>98</v>
      </c>
      <c r="H7" s="69">
        <f>E7*$E$8+F7*$F$8+G7*$G$8</f>
        <v>97.600000000000009</v>
      </c>
      <c r="I7" s="2"/>
    </row>
    <row r="8" spans="1:10" ht="15.75" x14ac:dyDescent="0.25">
      <c r="A8" s="2"/>
      <c r="B8" s="2"/>
      <c r="C8" s="2"/>
      <c r="D8" s="2"/>
      <c r="E8" s="15">
        <v>0.2</v>
      </c>
      <c r="F8" s="8">
        <v>0.4</v>
      </c>
      <c r="G8" s="8">
        <v>0.4</v>
      </c>
      <c r="H8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8"/>
  <sheetViews>
    <sheetView zoomScale="160" zoomScaleNormal="160" workbookViewId="0">
      <selection activeCell="C10" sqref="C10"/>
    </sheetView>
  </sheetViews>
  <sheetFormatPr defaultColWidth="9.140625" defaultRowHeight="15" x14ac:dyDescent="0.25"/>
  <cols>
    <col min="1" max="1" width="9.140625" style="1"/>
    <col min="2" max="2" width="13.85546875" style="1" customWidth="1"/>
    <col min="3" max="3" width="34.7109375" style="1" bestFit="1" customWidth="1"/>
    <col min="4" max="4" width="39.7109375" style="1" customWidth="1"/>
    <col min="5" max="5" width="19.85546875" style="1" customWidth="1"/>
    <col min="6" max="7" width="10.7109375" style="1" bestFit="1" customWidth="1"/>
    <col min="8" max="8" width="11.140625" style="1" bestFit="1" customWidth="1"/>
    <col min="9" max="9" width="11.42578125" style="1" bestFit="1" customWidth="1"/>
    <col min="10" max="16384" width="9.140625" style="1"/>
  </cols>
  <sheetData>
    <row r="1" spans="1:10" x14ac:dyDescent="0.25">
      <c r="A1" s="16" t="s">
        <v>4</v>
      </c>
      <c r="B1" s="6" t="s">
        <v>5</v>
      </c>
      <c r="C1" s="6" t="s">
        <v>6</v>
      </c>
      <c r="D1" s="6" t="s">
        <v>7</v>
      </c>
      <c r="E1" s="17" t="s">
        <v>0</v>
      </c>
      <c r="F1" s="17" t="s">
        <v>1</v>
      </c>
      <c r="G1" s="17" t="s">
        <v>2</v>
      </c>
      <c r="H1" s="18" t="s">
        <v>3</v>
      </c>
    </row>
    <row r="2" spans="1:10" ht="15.75" x14ac:dyDescent="0.25">
      <c r="A2" s="4">
        <v>6</v>
      </c>
      <c r="B2" s="7"/>
      <c r="C2" s="13" t="s">
        <v>12</v>
      </c>
      <c r="D2" s="14">
        <v>115400477</v>
      </c>
      <c r="E2" s="60">
        <v>100</v>
      </c>
      <c r="F2" s="9">
        <v>98</v>
      </c>
      <c r="G2" s="9">
        <v>95</v>
      </c>
      <c r="H2" s="61">
        <f>E2*$E$8+F2*$F$8+G2*$G$8</f>
        <v>97.2</v>
      </c>
      <c r="I2" s="4"/>
      <c r="J2" s="5"/>
    </row>
    <row r="3" spans="1:10" ht="15.75" x14ac:dyDescent="0.25">
      <c r="A3" s="4">
        <v>7</v>
      </c>
      <c r="B3" s="4"/>
      <c r="C3" s="13" t="s">
        <v>30</v>
      </c>
      <c r="D3" s="14">
        <v>603790516</v>
      </c>
      <c r="E3" s="71">
        <v>100</v>
      </c>
      <c r="F3" s="9">
        <v>98</v>
      </c>
      <c r="G3" s="9">
        <v>95</v>
      </c>
      <c r="H3" s="61">
        <f>E3*$E$8+F3*$F$8+G3*$G$8</f>
        <v>97.2</v>
      </c>
      <c r="I3" s="4"/>
      <c r="J3" s="5"/>
    </row>
    <row r="4" spans="1:10" ht="15.75" x14ac:dyDescent="0.25">
      <c r="A4" s="4">
        <v>10</v>
      </c>
      <c r="B4" s="7"/>
      <c r="C4" s="13" t="s">
        <v>14</v>
      </c>
      <c r="D4" s="14">
        <v>206270755</v>
      </c>
      <c r="E4" s="60">
        <v>100</v>
      </c>
      <c r="F4" s="9">
        <v>98</v>
      </c>
      <c r="G4" s="9">
        <v>95</v>
      </c>
      <c r="H4" s="61">
        <f>E4*$E$8+F4*$F$8+G4*$G$8</f>
        <v>97.2</v>
      </c>
      <c r="I4" s="4"/>
      <c r="J4" s="5"/>
    </row>
    <row r="5" spans="1:10" ht="15.75" customHeight="1" x14ac:dyDescent="0.25">
      <c r="A5" s="4">
        <v>11</v>
      </c>
      <c r="B5" s="7"/>
      <c r="C5" s="13" t="s">
        <v>15</v>
      </c>
      <c r="D5" s="14">
        <v>110440926</v>
      </c>
      <c r="E5" s="60">
        <v>100</v>
      </c>
      <c r="F5" s="9">
        <v>98</v>
      </c>
      <c r="G5" s="9">
        <v>95</v>
      </c>
      <c r="H5" s="61">
        <f>E5*$E$8+F5*$F$8+G5*$G$8</f>
        <v>97.2</v>
      </c>
      <c r="I5" s="4"/>
      <c r="J5" s="5"/>
    </row>
    <row r="6" spans="1:10" ht="15.75" customHeight="1" x14ac:dyDescent="0.25">
      <c r="A6" s="4">
        <v>12</v>
      </c>
      <c r="B6" s="7"/>
      <c r="C6" s="13" t="s">
        <v>16</v>
      </c>
      <c r="D6" s="14">
        <v>113110175</v>
      </c>
      <c r="E6" s="60">
        <v>100</v>
      </c>
      <c r="F6" s="9">
        <v>98</v>
      </c>
      <c r="G6" s="9">
        <v>95</v>
      </c>
      <c r="H6" s="61">
        <f>E6*$E$8+F6*$F$8+G6*$G$8</f>
        <v>97.2</v>
      </c>
      <c r="I6" s="4"/>
      <c r="J6" s="5"/>
    </row>
    <row r="7" spans="1:10" ht="15.75" customHeight="1" x14ac:dyDescent="0.25">
      <c r="A7" s="63">
        <v>13</v>
      </c>
      <c r="B7" s="63"/>
      <c r="C7" s="65" t="s">
        <v>29</v>
      </c>
      <c r="D7" s="66">
        <v>206610588</v>
      </c>
      <c r="E7" s="67">
        <v>100</v>
      </c>
      <c r="F7" s="11">
        <v>98</v>
      </c>
      <c r="G7" s="11">
        <v>95</v>
      </c>
      <c r="H7" s="69">
        <f>E7*$E$8+F7*$F$8+G7*$G$8</f>
        <v>97.2</v>
      </c>
      <c r="I7" s="4"/>
      <c r="J7" s="5"/>
    </row>
    <row r="8" spans="1:10" ht="15.75" x14ac:dyDescent="0.25">
      <c r="A8" s="2"/>
      <c r="B8" s="2"/>
      <c r="C8" s="2"/>
      <c r="D8" s="2"/>
      <c r="E8" s="15">
        <v>0.2</v>
      </c>
      <c r="F8" s="8">
        <v>0.4</v>
      </c>
      <c r="G8" s="8">
        <v>0.4</v>
      </c>
      <c r="H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General</vt:lpstr>
      <vt:lpstr>Grupo 1</vt:lpstr>
      <vt:lpstr>Grupo 2</vt:lpstr>
      <vt:lpstr>Grupo 3</vt:lpstr>
      <vt:lpstr>Grupo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2018-10-21T00:30:21Z</dcterms:modified>
</cp:coreProperties>
</file>