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G:\Cursos\UCIMED Estadística\Dashboard en Excel\"/>
    </mc:Choice>
  </mc:AlternateContent>
  <xr:revisionPtr revIDLastSave="0" documentId="13_ncr:1_{B610D704-3D53-4598-925C-6739C5790FED}" xr6:coauthVersionLast="47" xr6:coauthVersionMax="47" xr10:uidLastSave="{00000000-0000-0000-0000-000000000000}"/>
  <bookViews>
    <workbookView xWindow="825" yWindow="-120" windowWidth="28095" windowHeight="16440" activeTab="4" xr2:uid="{00000000-000D-0000-FFFF-FFFF00000000}"/>
  </bookViews>
  <sheets>
    <sheet name="Junio" sheetId="6" r:id="rId1"/>
    <sheet name="Codificación de las variables" sheetId="8" r:id="rId2"/>
    <sheet name="BD" sheetId="9" r:id="rId3"/>
    <sheet name="Tablas" sheetId="10" r:id="rId4"/>
    <sheet name="dsh_H&amp;W" sheetId="11" r:id="rId5"/>
  </sheets>
  <definedNames>
    <definedName name="_xlchart.v1.0" hidden="1">Tablas!$D$47:$D$51</definedName>
    <definedName name="_xlchart.v1.1" hidden="1">Tablas!$E$47:$E$51</definedName>
    <definedName name="Slicer_Área">#N/A</definedName>
    <definedName name="Slicer_Sexo">#N/A</definedName>
    <definedName name="Slicer_Tipo_trabajado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10" l="1"/>
  <c r="C22" i="10"/>
  <c r="B22" i="10"/>
  <c r="E50" i="10"/>
  <c r="E47" i="10"/>
  <c r="C21" i="10"/>
  <c r="D21" i="10"/>
  <c r="C20" i="10"/>
  <c r="B20" i="10"/>
  <c r="E49" i="10"/>
  <c r="E48" i="10"/>
  <c r="D20" i="10"/>
  <c r="C56" i="10"/>
  <c r="B21" i="10"/>
  <c r="D22" i="10"/>
  <c r="C8" i="10"/>
  <c r="D56" i="10" l="1"/>
  <c r="E56" i="10" s="1"/>
</calcChain>
</file>

<file path=xl/sharedStrings.xml><?xml version="1.0" encoding="utf-8"?>
<sst xmlns="http://schemas.openxmlformats.org/spreadsheetml/2006/main" count="8506" uniqueCount="160">
  <si>
    <t>Edad</t>
  </si>
  <si>
    <t>Sexo</t>
  </si>
  <si>
    <t>Diagnóstico Micro</t>
  </si>
  <si>
    <t>Diagnóstico Macro</t>
  </si>
  <si>
    <t>Días</t>
  </si>
  <si>
    <t>Otros</t>
  </si>
  <si>
    <t>Incapacidad</t>
  </si>
  <si>
    <t>Estado Cita</t>
  </si>
  <si>
    <t>Padecimiento Crónico</t>
  </si>
  <si>
    <t>GASTROINTESTINAL</t>
  </si>
  <si>
    <t>CCSS</t>
  </si>
  <si>
    <t>ASMA</t>
  </si>
  <si>
    <t>RESPIRATORIO</t>
  </si>
  <si>
    <t>BRONQUITIS</t>
  </si>
  <si>
    <t>CONSULTA GENERAL</t>
  </si>
  <si>
    <t>OMALGIA</t>
  </si>
  <si>
    <t>OSTEOMUSCULAR</t>
  </si>
  <si>
    <t>DISFONIA</t>
  </si>
  <si>
    <t>ORL</t>
  </si>
  <si>
    <t>GASTROENTERITIS</t>
  </si>
  <si>
    <t>CUADRO GRIPAL</t>
  </si>
  <si>
    <t>IVRS</t>
  </si>
  <si>
    <t>MIGRAÑA</t>
  </si>
  <si>
    <t>NEUROLOGICO</t>
  </si>
  <si>
    <t>TENDINITIS</t>
  </si>
  <si>
    <t>GINECOLOGICO</t>
  </si>
  <si>
    <t>ONICOCRIPTOSIS</t>
  </si>
  <si>
    <t>SINUSITIS</t>
  </si>
  <si>
    <t>CEFALEA</t>
  </si>
  <si>
    <t>RINITIS</t>
  </si>
  <si>
    <t>GASTRITIS</t>
  </si>
  <si>
    <t>BLEFARITIS</t>
  </si>
  <si>
    <t>OFTALMO</t>
  </si>
  <si>
    <t>CONTRACTURA MM</t>
  </si>
  <si>
    <t>FASCEITIS PLANTAR</t>
  </si>
  <si>
    <t>INFECCION VAGINAL</t>
  </si>
  <si>
    <t>ABSCESO</t>
  </si>
  <si>
    <t>TOMA DE GLICEMIA</t>
  </si>
  <si>
    <t>INDIGESTION</t>
  </si>
  <si>
    <t>DEPRESION</t>
  </si>
  <si>
    <t>PICADURA DE INSECTO</t>
  </si>
  <si>
    <t>GONALGIA</t>
  </si>
  <si>
    <t>LIUMBALGIA</t>
  </si>
  <si>
    <t>IRRITABILIDAD EN OJO</t>
  </si>
  <si>
    <t>PARESTESIAS</t>
  </si>
  <si>
    <t>FARINGITIS</t>
  </si>
  <si>
    <t>FOLICULITIS</t>
  </si>
  <si>
    <t>DERMATOLOGICO</t>
  </si>
  <si>
    <t>REACCION ALERGICA</t>
  </si>
  <si>
    <t>DERMATITIS</t>
  </si>
  <si>
    <t>ASMA, RINITIS</t>
  </si>
  <si>
    <t xml:space="preserve">SOLICITUD  </t>
  </si>
  <si>
    <t>INFECCION CUTANEA</t>
  </si>
  <si>
    <t>CIRCULATORIO</t>
  </si>
  <si>
    <t>VOMITOS</t>
  </si>
  <si>
    <t>BIPOLAR</t>
  </si>
  <si>
    <t>SOLICITUD DEL USO DEL ASENSOR</t>
  </si>
  <si>
    <t>CONJUNTIVITIS ALERGICA</t>
  </si>
  <si>
    <t>SOLICITUD DE EQUIPO ERGONOMICO</t>
  </si>
  <si>
    <t>INS</t>
  </si>
  <si>
    <t>METRORRAGIA</t>
  </si>
  <si>
    <t>NAUSEAS</t>
  </si>
  <si>
    <t>GENITOURINARIO</t>
  </si>
  <si>
    <t>ALERGIA</t>
  </si>
  <si>
    <t>CRISIS DE ANSIEDAD</t>
  </si>
  <si>
    <t>LUMBICIATICA</t>
  </si>
  <si>
    <t>HEMORROIDES</t>
  </si>
  <si>
    <t>HERPER LABIAL</t>
  </si>
  <si>
    <t>TOS</t>
  </si>
  <si>
    <t>DISMENORREA</t>
  </si>
  <si>
    <t>ANSIEDAD</t>
  </si>
  <si>
    <t>TAPON DE CERUMEN</t>
  </si>
  <si>
    <t>DOLOR POR PIEZA DENTAL</t>
  </si>
  <si>
    <t>REFLUJO GASTROESOFAGICO</t>
  </si>
  <si>
    <t>SD DE ABSTINENCIA</t>
  </si>
  <si>
    <t>VASCULAR</t>
  </si>
  <si>
    <t>Id</t>
  </si>
  <si>
    <t xml:space="preserve"> CUIDOS Y SERVIOS MÉDICOS EMPRESARIALES Y A DOMICILIO S.A.</t>
  </si>
  <si>
    <t xml:space="preserve">Asistencia Médica Empresarial </t>
  </si>
  <si>
    <t>Tipo trabajador</t>
  </si>
  <si>
    <t xml:space="preserve">Área </t>
  </si>
  <si>
    <t>Laboratorio</t>
  </si>
  <si>
    <t>Rayos "X"</t>
  </si>
  <si>
    <t>Monto de la consulta</t>
  </si>
  <si>
    <t>% grasa</t>
  </si>
  <si>
    <t>Privado</t>
  </si>
  <si>
    <t>Público</t>
  </si>
  <si>
    <t>Hombre</t>
  </si>
  <si>
    <t>Mujer</t>
  </si>
  <si>
    <t>Área</t>
  </si>
  <si>
    <t>Recursos humanos</t>
  </si>
  <si>
    <t>Proveeduría</t>
  </si>
  <si>
    <t>IT</t>
  </si>
  <si>
    <t>Contabilidad y finanzas</t>
  </si>
  <si>
    <t>Ventas</t>
  </si>
  <si>
    <t>Administración</t>
  </si>
  <si>
    <t>Producción</t>
  </si>
  <si>
    <t>Logística</t>
  </si>
  <si>
    <t xml:space="preserve">Asesoria </t>
  </si>
  <si>
    <t>Gerencia</t>
  </si>
  <si>
    <t>Comercial y Marketing</t>
  </si>
  <si>
    <t>Estado de la cita</t>
  </si>
  <si>
    <t xml:space="preserve">Asistio </t>
  </si>
  <si>
    <t>Ausente</t>
  </si>
  <si>
    <t>Recargo</t>
  </si>
  <si>
    <t>Condición %grasa</t>
  </si>
  <si>
    <t>Consulta adicional</t>
  </si>
  <si>
    <t>Condición % grasa</t>
  </si>
  <si>
    <t>Atletas</t>
  </si>
  <si>
    <t>Normal</t>
  </si>
  <si>
    <t>Corpulento(a)</t>
  </si>
  <si>
    <t>Obeso(a)</t>
  </si>
  <si>
    <t xml:space="preserve">Padecimiento crónico </t>
  </si>
  <si>
    <t>Rinitis</t>
  </si>
  <si>
    <t>Artritis Reumatoide</t>
  </si>
  <si>
    <t>Asma</t>
  </si>
  <si>
    <t xml:space="preserve">Bipolar </t>
  </si>
  <si>
    <t>Migraña</t>
  </si>
  <si>
    <t>Depresión</t>
  </si>
  <si>
    <t xml:space="preserve">Dermatitis </t>
  </si>
  <si>
    <t xml:space="preserve">Gastritis </t>
  </si>
  <si>
    <t>Hipotiroidismo</t>
  </si>
  <si>
    <t>Lumbalgia</t>
  </si>
  <si>
    <t>Osteoporosis</t>
  </si>
  <si>
    <t>Tiroides</t>
  </si>
  <si>
    <t xml:space="preserve">Hipertensión </t>
  </si>
  <si>
    <t>Espasticidad</t>
  </si>
  <si>
    <t>Instancia de atención</t>
  </si>
  <si>
    <t>Clínica Bíblica</t>
  </si>
  <si>
    <t>Si</t>
  </si>
  <si>
    <t>No</t>
  </si>
  <si>
    <t>Rayos X</t>
  </si>
  <si>
    <t>Delgado(a)</t>
  </si>
  <si>
    <t>Ninguno</t>
  </si>
  <si>
    <t>Condición</t>
  </si>
  <si>
    <t>Average of Días</t>
  </si>
  <si>
    <t>Average of Monto de la consulta</t>
  </si>
  <si>
    <t>Count of Id</t>
  </si>
  <si>
    <t>Consulta</t>
  </si>
  <si>
    <t>TIROIDES</t>
  </si>
  <si>
    <t>HIPOTIROIDISMO</t>
  </si>
  <si>
    <t>ESPASTICIDAD</t>
  </si>
  <si>
    <t>DEPRESIÓN</t>
  </si>
  <si>
    <t xml:space="preserve">BIPOLAR </t>
  </si>
  <si>
    <t xml:space="preserve">GASTRITIS </t>
  </si>
  <si>
    <t>NINGUNO</t>
  </si>
  <si>
    <t>OSTEOPOROSIS</t>
  </si>
  <si>
    <t xml:space="preserve">HIPERTENSIÓN </t>
  </si>
  <si>
    <t>ARTRITIS REUMATOIDE</t>
  </si>
  <si>
    <t xml:space="preserve">DERMATITIS </t>
  </si>
  <si>
    <t>LUMBALGIA</t>
  </si>
  <si>
    <t>20-29</t>
  </si>
  <si>
    <t>30-39</t>
  </si>
  <si>
    <t>40-49</t>
  </si>
  <si>
    <t>50-59</t>
  </si>
  <si>
    <t>60-70</t>
  </si>
  <si>
    <t>Average of % grasa</t>
  </si>
  <si>
    <t>Etiquetas de fila</t>
  </si>
  <si>
    <t>Total general</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</si>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</sst>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140A]* #,##0_-;\-[$₡-140A]* #,##0_-;_-[$₡-140A]* &quot;-&quot;??_-;_-@_-"/>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20"/>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9" fontId="4" fillId="0" borderId="0" applyFont="0" applyFill="0" applyBorder="0" applyAlignment="0" applyProtection="0"/>
  </cellStyleXfs>
  <cellXfs count="37">
    <xf numFmtId="0" fontId="0" fillId="0" borderId="0" xfId="0"/>
    <xf numFmtId="0" fontId="0" fillId="2" borderId="0" xfId="0" applyFill="1"/>
    <xf numFmtId="0" fontId="1" fillId="2" borderId="0" xfId="0" applyFont="1" applyFill="1" applyAlignment="1">
      <alignment horizontal="center"/>
    </xf>
    <xf numFmtId="0" fontId="0" fillId="2" borderId="1" xfId="0" applyFill="1" applyBorder="1"/>
    <xf numFmtId="0" fontId="2" fillId="2" borderId="0" xfId="0" applyFont="1" applyFill="1"/>
    <xf numFmtId="0" fontId="1" fillId="3" borderId="4"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0" borderId="6" xfId="0" applyBorder="1" applyAlignment="1">
      <alignment horizontal="left"/>
    </xf>
    <xf numFmtId="0" fontId="0" fillId="0" borderId="7" xfId="0" applyBorder="1"/>
    <xf numFmtId="0" fontId="0" fillId="0" borderId="8" xfId="0" applyBorder="1" applyAlignment="1">
      <alignment horizontal="left"/>
    </xf>
    <xf numFmtId="0" fontId="0" fillId="0" borderId="9"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7" xfId="0" applyBorder="1" applyAlignment="1">
      <alignment horizontal="left"/>
    </xf>
    <xf numFmtId="0" fontId="0" fillId="0" borderId="11" xfId="0" applyBorder="1" applyAlignment="1">
      <alignment horizontal="left"/>
    </xf>
    <xf numFmtId="0" fontId="0" fillId="0" borderId="9" xfId="0" applyBorder="1" applyAlignment="1">
      <alignment horizontal="left"/>
    </xf>
    <xf numFmtId="0" fontId="0" fillId="0" borderId="0" xfId="0" applyAlignment="1">
      <alignment horizontal="left"/>
    </xf>
    <xf numFmtId="0" fontId="0" fillId="0" borderId="0" xfId="0" pivotButton="1"/>
    <xf numFmtId="0" fontId="0" fillId="0" borderId="0" xfId="0" applyNumberFormat="1"/>
    <xf numFmtId="10" fontId="0" fillId="0" borderId="0" xfId="0" applyNumberFormat="1"/>
    <xf numFmtId="0" fontId="0" fillId="6" borderId="0" xfId="0" applyFill="1"/>
    <xf numFmtId="9" fontId="0" fillId="0" borderId="0" xfId="0" applyNumberFormat="1"/>
    <xf numFmtId="9" fontId="0" fillId="0" borderId="0" xfId="1" applyFont="1"/>
    <xf numFmtId="164" fontId="0" fillId="0" borderId="0" xfId="0" applyNumberFormat="1"/>
    <xf numFmtId="1" fontId="0" fillId="0" borderId="0" xfId="0" applyNumberFormat="1"/>
    <xf numFmtId="165" fontId="0" fillId="0" borderId="0" xfId="0" applyNumberFormat="1"/>
    <xf numFmtId="0" fontId="3" fillId="4" borderId="10" xfId="0" applyFont="1" applyFill="1" applyBorder="1" applyAlignment="1">
      <alignment horizontal="center"/>
    </xf>
    <xf numFmtId="0" fontId="3" fillId="4" borderId="0" xfId="0" applyFont="1" applyFill="1" applyAlignment="1">
      <alignment horizontal="center"/>
    </xf>
    <xf numFmtId="0" fontId="3" fillId="4" borderId="5" xfId="0" applyFont="1" applyFill="1" applyBorder="1" applyAlignment="1">
      <alignment horizontal="center"/>
    </xf>
    <xf numFmtId="0" fontId="3" fillId="5" borderId="10" xfId="0" applyFont="1" applyFill="1" applyBorder="1" applyAlignment="1">
      <alignment horizontal="center"/>
    </xf>
    <xf numFmtId="0" fontId="3" fillId="5" borderId="0" xfId="0" applyFont="1" applyFill="1" applyAlignment="1">
      <alignment horizontal="center"/>
    </xf>
    <xf numFmtId="0" fontId="3" fillId="5" borderId="5" xfId="0" applyFont="1" applyFill="1" applyBorder="1" applyAlignment="1">
      <alignment horizontal="center"/>
    </xf>
    <xf numFmtId="0" fontId="1" fillId="3" borderId="0" xfId="0" applyFont="1" applyFill="1" applyAlignment="1">
      <alignment horizontal="center"/>
    </xf>
    <xf numFmtId="0" fontId="1" fillId="3" borderId="5" xfId="0" applyFont="1" applyFill="1" applyBorder="1" applyAlignment="1">
      <alignment horizontal="center"/>
    </xf>
  </cellXfs>
  <cellStyles count="2">
    <cellStyle name="Normal" xfId="0" builtinId="0"/>
    <cellStyle name="Porcentaje" xfId="1" builtinId="5"/>
  </cellStyles>
  <dxfs count="22">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font>
        <b/>
        <i val="0"/>
      </font>
    </dxf>
    <dxf>
      <fill>
        <patternFill>
          <bgColor theme="0" tint="-4.9989318521683403E-2"/>
        </patternFill>
      </fill>
    </dxf>
  </dxfs>
  <tableStyles count="1" defaultTableStyle="TableStyleMedium2" defaultPivotStyle="PivotStyleLight16">
    <tableStyle name="Slicer Style 1" pivot="0" table="0" count="6" xr9:uid="{00000000-0011-0000-FFFF-FFFF00000000}">
      <tableStyleElement type="wholeTable" dxfId="21"/>
      <tableStyleElement type="headerRow" dxfId="20"/>
    </tableStyle>
  </tableStyles>
  <colors>
    <mruColors>
      <color rgb="FF66FFFF"/>
    </mruColors>
  </colors>
  <extLst>
    <ext xmlns:x14="http://schemas.microsoft.com/office/spreadsheetml/2009/9/main" uri="{46F421CA-312F-682f-3DD2-61675219B42D}">
      <x14:dxfs count="4">
        <dxf>
          <fill>
            <patternFill>
              <bgColor theme="0"/>
            </patternFill>
          </fill>
        </dxf>
        <dxf>
          <fill>
            <patternFill>
              <bgColor theme="0"/>
            </patternFill>
          </fill>
        </dxf>
        <dxf>
          <fill>
            <patternFill>
              <bgColor theme="8"/>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Tablas!$B$19</c:f>
              <c:strCache>
                <c:ptCount val="1"/>
                <c:pt idx="0">
                  <c:v>Laboratorio</c:v>
                </c:pt>
              </c:strCache>
            </c:strRef>
          </c:tx>
          <c:spPr>
            <a:solidFill>
              <a:schemeClr val="accent6"/>
            </a:solidFill>
            <a:ln>
              <a:noFill/>
            </a:ln>
            <a:effectLst/>
          </c:spPr>
          <c:invertIfNegative val="0"/>
          <c:cat>
            <c:strRef>
              <c:f>Tablas!$A$20:$A$22</c:f>
              <c:strCache>
                <c:ptCount val="3"/>
                <c:pt idx="0">
                  <c:v>CCSS</c:v>
                </c:pt>
                <c:pt idx="1">
                  <c:v>Clínica Bíblica</c:v>
                </c:pt>
                <c:pt idx="2">
                  <c:v>INS</c:v>
                </c:pt>
              </c:strCache>
            </c:strRef>
          </c:cat>
          <c:val>
            <c:numRef>
              <c:f>Tablas!$B$20:$B$22</c:f>
              <c:numCache>
                <c:formatCode>0%</c:formatCode>
                <c:ptCount val="3"/>
                <c:pt idx="0">
                  <c:v>0.18598382749326145</c:v>
                </c:pt>
                <c:pt idx="1">
                  <c:v>0.48717948717948717</c:v>
                </c:pt>
                <c:pt idx="2">
                  <c:v>0.54794520547945202</c:v>
                </c:pt>
              </c:numCache>
            </c:numRef>
          </c:val>
          <c:extLst>
            <c:ext xmlns:c16="http://schemas.microsoft.com/office/drawing/2014/chart" uri="{C3380CC4-5D6E-409C-BE32-E72D297353CC}">
              <c16:uniqueId val="{00000000-E8A9-4D18-B2EA-D161CD5F3C40}"/>
            </c:ext>
          </c:extLst>
        </c:ser>
        <c:ser>
          <c:idx val="1"/>
          <c:order val="1"/>
          <c:tx>
            <c:strRef>
              <c:f>Tablas!$C$19</c:f>
              <c:strCache>
                <c:ptCount val="1"/>
                <c:pt idx="0">
                  <c:v>Rayos X</c:v>
                </c:pt>
              </c:strCache>
            </c:strRef>
          </c:tx>
          <c:spPr>
            <a:solidFill>
              <a:schemeClr val="accent5"/>
            </a:solidFill>
            <a:ln>
              <a:noFill/>
            </a:ln>
            <a:effectLst/>
          </c:spPr>
          <c:invertIfNegative val="0"/>
          <c:cat>
            <c:strRef>
              <c:f>Tablas!$A$20:$A$22</c:f>
              <c:strCache>
                <c:ptCount val="3"/>
                <c:pt idx="0">
                  <c:v>CCSS</c:v>
                </c:pt>
                <c:pt idx="1">
                  <c:v>Clínica Bíblica</c:v>
                </c:pt>
                <c:pt idx="2">
                  <c:v>INS</c:v>
                </c:pt>
              </c:strCache>
            </c:strRef>
          </c:cat>
          <c:val>
            <c:numRef>
              <c:f>Tablas!$C$20:$C$22</c:f>
              <c:numCache>
                <c:formatCode>0%</c:formatCode>
                <c:ptCount val="3"/>
                <c:pt idx="0">
                  <c:v>0.15633423180592992</c:v>
                </c:pt>
                <c:pt idx="1">
                  <c:v>0.45299145299145299</c:v>
                </c:pt>
                <c:pt idx="2">
                  <c:v>0.49315068493150682</c:v>
                </c:pt>
              </c:numCache>
            </c:numRef>
          </c:val>
          <c:extLst>
            <c:ext xmlns:c16="http://schemas.microsoft.com/office/drawing/2014/chart" uri="{C3380CC4-5D6E-409C-BE32-E72D297353CC}">
              <c16:uniqueId val="{00000001-E8A9-4D18-B2EA-D161CD5F3C40}"/>
            </c:ext>
          </c:extLst>
        </c:ser>
        <c:ser>
          <c:idx val="2"/>
          <c:order val="2"/>
          <c:tx>
            <c:strRef>
              <c:f>Tablas!$D$19</c:f>
              <c:strCache>
                <c:ptCount val="1"/>
                <c:pt idx="0">
                  <c:v>Consulta</c:v>
                </c:pt>
              </c:strCache>
            </c:strRef>
          </c:tx>
          <c:spPr>
            <a:solidFill>
              <a:schemeClr val="accent4"/>
            </a:solidFill>
            <a:ln>
              <a:noFill/>
            </a:ln>
            <a:effectLst/>
          </c:spPr>
          <c:invertIfNegative val="0"/>
          <c:cat>
            <c:strRef>
              <c:f>Tablas!$A$20:$A$22</c:f>
              <c:strCache>
                <c:ptCount val="3"/>
                <c:pt idx="0">
                  <c:v>CCSS</c:v>
                </c:pt>
                <c:pt idx="1">
                  <c:v>Clínica Bíblica</c:v>
                </c:pt>
                <c:pt idx="2">
                  <c:v>INS</c:v>
                </c:pt>
              </c:strCache>
            </c:strRef>
          </c:cat>
          <c:val>
            <c:numRef>
              <c:f>Tablas!$D$20:$D$22</c:f>
              <c:numCache>
                <c:formatCode>0%</c:formatCode>
                <c:ptCount val="3"/>
                <c:pt idx="0">
                  <c:v>0.18598382749326145</c:v>
                </c:pt>
                <c:pt idx="1">
                  <c:v>0.54700854700854706</c:v>
                </c:pt>
                <c:pt idx="2">
                  <c:v>0.51369863013698636</c:v>
                </c:pt>
              </c:numCache>
            </c:numRef>
          </c:val>
          <c:extLst>
            <c:ext xmlns:c16="http://schemas.microsoft.com/office/drawing/2014/chart" uri="{C3380CC4-5D6E-409C-BE32-E72D297353CC}">
              <c16:uniqueId val="{00000002-E8A9-4D18-B2EA-D161CD5F3C40}"/>
            </c:ext>
          </c:extLst>
        </c:ser>
        <c:dLbls>
          <c:showLegendKey val="0"/>
          <c:showVal val="0"/>
          <c:showCatName val="0"/>
          <c:showSerName val="0"/>
          <c:showPercent val="0"/>
          <c:showBubbleSize val="0"/>
        </c:dLbls>
        <c:gapWidth val="219"/>
        <c:overlap val="-27"/>
        <c:axId val="142775424"/>
        <c:axId val="143012224"/>
      </c:barChart>
      <c:catAx>
        <c:axId val="14277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2224"/>
        <c:crosses val="autoZero"/>
        <c:auto val="1"/>
        <c:lblAlgn val="ctr"/>
        <c:lblOffset val="100"/>
        <c:noMultiLvlLbl val="0"/>
      </c:catAx>
      <c:valAx>
        <c:axId val="14301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Tablas!$B$63</c:f>
              <c:strCache>
                <c:ptCount val="1"/>
                <c:pt idx="0">
                  <c:v>Total</c:v>
                </c:pt>
              </c:strCache>
            </c:strRef>
          </c:tx>
          <c:spPr>
            <a:solidFill>
              <a:schemeClr val="accent5"/>
            </a:solidFill>
            <a:ln>
              <a:noFill/>
            </a:ln>
            <a:effectLst/>
          </c:spPr>
          <c:invertIfNegative val="0"/>
          <c:cat>
            <c:strRef>
              <c:f>Tablas!$A$64:$A$69</c:f>
              <c:strCache>
                <c:ptCount val="5"/>
                <c:pt idx="0">
                  <c:v>NINGUNO</c:v>
                </c:pt>
                <c:pt idx="1">
                  <c:v>BIPOLAR </c:v>
                </c:pt>
                <c:pt idx="2">
                  <c:v>ESPASTICIDAD</c:v>
                </c:pt>
                <c:pt idx="3">
                  <c:v>TIROIDES</c:v>
                </c:pt>
                <c:pt idx="4">
                  <c:v>OSTEOPOROSIS</c:v>
                </c:pt>
              </c:strCache>
            </c:strRef>
          </c:cat>
          <c:val>
            <c:numRef>
              <c:f>Tablas!$B$64:$B$69</c:f>
              <c:numCache>
                <c:formatCode>General</c:formatCode>
                <c:ptCount val="5"/>
                <c:pt idx="0">
                  <c:v>41</c:v>
                </c:pt>
                <c:pt idx="1">
                  <c:v>42</c:v>
                </c:pt>
                <c:pt idx="2">
                  <c:v>42</c:v>
                </c:pt>
                <c:pt idx="3">
                  <c:v>44</c:v>
                </c:pt>
                <c:pt idx="4">
                  <c:v>46</c:v>
                </c:pt>
              </c:numCache>
            </c:numRef>
          </c:val>
          <c:extLst>
            <c:ext xmlns:c16="http://schemas.microsoft.com/office/drawing/2014/chart" uri="{C3380CC4-5D6E-409C-BE32-E72D297353CC}">
              <c16:uniqueId val="{00000000-DC07-4399-997D-018A80DA4A57}"/>
            </c:ext>
          </c:extLst>
        </c:ser>
        <c:dLbls>
          <c:showLegendKey val="0"/>
          <c:showVal val="0"/>
          <c:showCatName val="0"/>
          <c:showSerName val="0"/>
          <c:showPercent val="0"/>
          <c:showBubbleSize val="0"/>
        </c:dLbls>
        <c:gapWidth val="182"/>
        <c:axId val="154145536"/>
        <c:axId val="176014848"/>
      </c:barChart>
      <c:catAx>
        <c:axId val="15414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4848"/>
        <c:crosses val="autoZero"/>
        <c:auto val="1"/>
        <c:lblAlgn val="ctr"/>
        <c:lblOffset val="100"/>
        <c:noMultiLvlLbl val="0"/>
      </c:catAx>
      <c:valAx>
        <c:axId val="17601484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[ExamenI_Parte4_MG.xlsx]Tablas!PivotTable4</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Tablas!$E$63</c:f>
              <c:strCache>
                <c:ptCount val="1"/>
                <c:pt idx="0">
                  <c:v>Total</c:v>
                </c:pt>
              </c:strCache>
            </c:strRef>
          </c:tx>
          <c:spPr>
            <a:solidFill>
              <a:schemeClr val="accent6"/>
            </a:solidFill>
            <a:ln>
              <a:noFill/>
            </a:ln>
            <a:effectLst/>
          </c:spPr>
          <c:invertIfNegative val="0"/>
          <c:cat>
            <c:strRef>
              <c:f>Tablas!$D$64:$D$69</c:f>
              <c:strCache>
                <c:ptCount val="5"/>
                <c:pt idx="0">
                  <c:v>RESPIRATORIO</c:v>
                </c:pt>
                <c:pt idx="1">
                  <c:v>GINECOLOGICO</c:v>
                </c:pt>
                <c:pt idx="2">
                  <c:v>CONSULTA GENERAL</c:v>
                </c:pt>
                <c:pt idx="3">
                  <c:v>NEUROLOGICO</c:v>
                </c:pt>
                <c:pt idx="4">
                  <c:v>CIRCULATORIO</c:v>
                </c:pt>
              </c:strCache>
            </c:strRef>
          </c:cat>
          <c:val>
            <c:numRef>
              <c:f>Tablas!$E$64:$E$69</c:f>
              <c:numCache>
                <c:formatCode>General</c:formatCode>
                <c:ptCount val="5"/>
                <c:pt idx="0">
                  <c:v>53</c:v>
                </c:pt>
                <c:pt idx="1">
                  <c:v>54</c:v>
                </c:pt>
                <c:pt idx="2">
                  <c:v>57</c:v>
                </c:pt>
                <c:pt idx="3">
                  <c:v>59</c:v>
                </c:pt>
                <c:pt idx="4">
                  <c:v>61</c:v>
                </c:pt>
              </c:numCache>
            </c:numRef>
          </c:val>
          <c:extLst>
            <c:ext xmlns:c16="http://schemas.microsoft.com/office/drawing/2014/chart" uri="{C3380CC4-5D6E-409C-BE32-E72D297353CC}">
              <c16:uniqueId val="{00000000-4CAB-4621-B3FB-DB1F1B776DCE}"/>
            </c:ext>
          </c:extLst>
        </c:ser>
        <c:dLbls>
          <c:showLegendKey val="0"/>
          <c:showVal val="0"/>
          <c:showCatName val="0"/>
          <c:showSerName val="0"/>
          <c:showPercent val="0"/>
          <c:showBubbleSize val="0"/>
        </c:dLbls>
        <c:gapWidth val="182"/>
        <c:axId val="236501248"/>
        <c:axId val="236618112"/>
      </c:barChart>
      <c:catAx>
        <c:axId val="23650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18112"/>
        <c:crosses val="autoZero"/>
        <c:auto val="1"/>
        <c:lblAlgn val="ctr"/>
        <c:lblOffset val="100"/>
        <c:noMultiLvlLbl val="0"/>
      </c:catAx>
      <c:valAx>
        <c:axId val="236618112"/>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50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[ExamenI_Parte4_MG.xlsx]Tablas!PivotTable5</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Tablas!$H$63</c:f>
              <c:strCache>
                <c:ptCount val="1"/>
                <c:pt idx="0">
                  <c:v>Total</c:v>
                </c:pt>
              </c:strCache>
            </c:strRef>
          </c:tx>
          <c:spPr>
            <a:solidFill>
              <a:schemeClr val="accent4"/>
            </a:solidFill>
            <a:ln>
              <a:noFill/>
            </a:ln>
            <a:effectLst/>
          </c:spPr>
          <c:invertIfNegative val="0"/>
          <c:cat>
            <c:strRef>
              <c:f>Tablas!$G$64:$G$72</c:f>
              <c:strCache>
                <c:ptCount val="8"/>
                <c:pt idx="0">
                  <c:v>HEMORROIDES</c:v>
                </c:pt>
                <c:pt idx="1">
                  <c:v>DERMATITIS</c:v>
                </c:pt>
                <c:pt idx="2">
                  <c:v>SOLICITUD  </c:v>
                </c:pt>
                <c:pt idx="3">
                  <c:v>SINUSITIS</c:v>
                </c:pt>
                <c:pt idx="4">
                  <c:v>HERPER LABIAL</c:v>
                </c:pt>
                <c:pt idx="5">
                  <c:v>BRONQUITIS</c:v>
                </c:pt>
                <c:pt idx="6">
                  <c:v>DOLOR POR PIEZA DENTAL</c:v>
                </c:pt>
                <c:pt idx="7">
                  <c:v>NAUSEAS</c:v>
                </c:pt>
              </c:strCache>
            </c:strRef>
          </c:cat>
          <c:val>
            <c:numRef>
              <c:f>Tablas!$H$64:$H$72</c:f>
              <c:numCache>
                <c:formatCode>General</c:formatCode>
                <c:ptCount val="8"/>
                <c:pt idx="0">
                  <c:v>17</c:v>
                </c:pt>
                <c:pt idx="1">
                  <c:v>17</c:v>
                </c:pt>
                <c:pt idx="2">
                  <c:v>17</c:v>
                </c:pt>
                <c:pt idx="3">
                  <c:v>17</c:v>
                </c:pt>
                <c:pt idx="4">
                  <c:v>18</c:v>
                </c:pt>
                <c:pt idx="5">
                  <c:v>18</c:v>
                </c:pt>
                <c:pt idx="6">
                  <c:v>18</c:v>
                </c:pt>
                <c:pt idx="7">
                  <c:v>19</c:v>
                </c:pt>
              </c:numCache>
            </c:numRef>
          </c:val>
          <c:extLst>
            <c:ext xmlns:c16="http://schemas.microsoft.com/office/drawing/2014/chart" uri="{C3380CC4-5D6E-409C-BE32-E72D297353CC}">
              <c16:uniqueId val="{00000000-881C-49F9-A402-AACB6110D98C}"/>
            </c:ext>
          </c:extLst>
        </c:ser>
        <c:dLbls>
          <c:showLegendKey val="0"/>
          <c:showVal val="0"/>
          <c:showCatName val="0"/>
          <c:showSerName val="0"/>
          <c:showPercent val="0"/>
          <c:showBubbleSize val="0"/>
        </c:dLbls>
        <c:gapWidth val="182"/>
        <c:axId val="240270336"/>
        <c:axId val="240813568"/>
      </c:barChart>
      <c:catAx>
        <c:axId val="24027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13568"/>
        <c:crosses val="autoZero"/>
        <c:auto val="1"/>
        <c:lblAlgn val="ctr"/>
        <c:lblOffset val="100"/>
        <c:noMultiLvlLbl val="0"/>
      </c:catAx>
      <c:valAx>
        <c:axId val="24081356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[ExamenI_Parte4_MG.xlsx]Tablas!PivotTable11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noFill/>
          </a:ln>
          <a:effectLst/>
        </c:spPr>
      </c:pivotFmt>
      <c:pivotFmt>
        <c:idx val="6"/>
        <c:spPr>
          <a:solidFill>
            <a:schemeClr val="accent5"/>
          </a:solidFill>
          <a:ln w="19050">
            <a:noFill/>
          </a:ln>
          <a:effectLst/>
        </c:spPr>
      </c:pivotFmt>
    </c:pivotFmts>
    <c:plotArea>
      <c:layout/>
      <c:pieChart>
        <c:varyColors val="1"/>
        <c:ser>
          <c:idx val="0"/>
          <c:order val="0"/>
          <c:tx>
            <c:strRef>
              <c:f>Tablas!$B$40</c:f>
              <c:strCache>
                <c:ptCount val="1"/>
                <c:pt idx="0">
                  <c:v>Total</c:v>
                </c:pt>
              </c:strCache>
            </c:strRef>
          </c:tx>
          <c:spPr>
            <a:solidFill>
              <a:schemeClr val="accent5"/>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635B-4973-90D0-F31889525306}"/>
              </c:ext>
            </c:extLst>
          </c:dPt>
          <c:dPt>
            <c:idx val="1"/>
            <c:bubble3D val="0"/>
            <c:spPr>
              <a:solidFill>
                <a:schemeClr val="accent5"/>
              </a:solidFill>
              <a:ln w="19050">
                <a:noFill/>
              </a:ln>
              <a:effectLst/>
            </c:spPr>
            <c:extLst>
              <c:ext xmlns:c16="http://schemas.microsoft.com/office/drawing/2014/chart" uri="{C3380CC4-5D6E-409C-BE32-E72D297353CC}">
                <c16:uniqueId val="{00000003-635B-4973-90D0-F31889525306}"/>
              </c:ext>
            </c:extLst>
          </c:dPt>
          <c:cat>
            <c:strRef>
              <c:f>Tablas!$A$41:$A$43</c:f>
              <c:strCache>
                <c:ptCount val="2"/>
                <c:pt idx="0">
                  <c:v>Privado</c:v>
                </c:pt>
                <c:pt idx="1">
                  <c:v>Público</c:v>
                </c:pt>
              </c:strCache>
            </c:strRef>
          </c:cat>
          <c:val>
            <c:numRef>
              <c:f>Tablas!$B$41:$B$43</c:f>
              <c:numCache>
                <c:formatCode>0.00%</c:formatCode>
                <c:ptCount val="2"/>
                <c:pt idx="0">
                  <c:v>0.49211356466876971</c:v>
                </c:pt>
                <c:pt idx="1">
                  <c:v>0.50788643533123023</c:v>
                </c:pt>
              </c:numCache>
            </c:numRef>
          </c:val>
          <c:extLst>
            <c:ext xmlns:c16="http://schemas.microsoft.com/office/drawing/2014/chart" uri="{C3380CC4-5D6E-409C-BE32-E72D297353CC}">
              <c16:uniqueId val="{00000004-635B-4973-90D0-F318895253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575355712114928"/>
          <c:y val="0.30932008480811851"/>
          <c:w val="0.23531256973445122"/>
          <c:h val="0.3813589406636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[ExamenI_Parte4_MG.xlsx]Tablas!PivotTable10</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Tablas!$B$31</c:f>
              <c:strCache>
                <c:ptCount val="1"/>
                <c:pt idx="0">
                  <c:v>Total</c:v>
                </c:pt>
              </c:strCache>
            </c:strRef>
          </c:tx>
          <c:spPr>
            <a:solidFill>
              <a:schemeClr val="accent5"/>
            </a:solidFill>
            <a:ln>
              <a:noFill/>
            </a:ln>
            <a:effectLst/>
          </c:spPr>
          <c:invertIfNegative val="0"/>
          <c:cat>
            <c:strRef>
              <c:f>Tablas!$A$32:$A$37</c:f>
              <c:strCache>
                <c:ptCount val="5"/>
                <c:pt idx="0">
                  <c:v>20-29</c:v>
                </c:pt>
                <c:pt idx="1">
                  <c:v>30-39</c:v>
                </c:pt>
                <c:pt idx="2">
                  <c:v>40-49</c:v>
                </c:pt>
                <c:pt idx="3">
                  <c:v>50-59</c:v>
                </c:pt>
                <c:pt idx="4">
                  <c:v>60-70</c:v>
                </c:pt>
              </c:strCache>
            </c:strRef>
          </c:cat>
          <c:val>
            <c:numRef>
              <c:f>Tablas!$B$32:$B$37</c:f>
              <c:numCache>
                <c:formatCode>0.00%</c:formatCode>
                <c:ptCount val="5"/>
                <c:pt idx="0">
                  <c:v>0.24132492113564669</c:v>
                </c:pt>
                <c:pt idx="1">
                  <c:v>0.19716088328075709</c:v>
                </c:pt>
                <c:pt idx="2">
                  <c:v>0.22397476340694006</c:v>
                </c:pt>
                <c:pt idx="3">
                  <c:v>0.22397476340694006</c:v>
                </c:pt>
                <c:pt idx="4">
                  <c:v>0.11356466876971609</c:v>
                </c:pt>
              </c:numCache>
            </c:numRef>
          </c:val>
          <c:extLst>
            <c:ext xmlns:c16="http://schemas.microsoft.com/office/drawing/2014/chart" uri="{C3380CC4-5D6E-409C-BE32-E72D297353CC}">
              <c16:uniqueId val="{00000000-9807-4BB4-AFD7-A13812D2B777}"/>
            </c:ext>
          </c:extLst>
        </c:ser>
        <c:dLbls>
          <c:showLegendKey val="0"/>
          <c:showVal val="0"/>
          <c:showCatName val="0"/>
          <c:showSerName val="0"/>
          <c:showPercent val="0"/>
          <c:showBubbleSize val="0"/>
        </c:dLbls>
        <c:gapWidth val="0"/>
        <c:overlap val="-100"/>
        <c:axId val="196197376"/>
        <c:axId val="196207360"/>
      </c:barChart>
      <c:catAx>
        <c:axId val="1961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7360"/>
        <c:crosses val="autoZero"/>
        <c:auto val="1"/>
        <c:lblAlgn val="ctr"/>
        <c:lblOffset val="100"/>
        <c:noMultiLvlLbl val="0"/>
      </c:catAx>
      <c:valAx>
        <c:axId val="19620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[ExamenI_Parte4_MG.xlsx]Tablas!PivotTable9</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5"/>
          </a:solidFill>
          <a:ln w="19050">
            <a:noFill/>
          </a:ln>
          <a:effectLst/>
        </c:spPr>
      </c:pivotFmt>
    </c:pivotFmts>
    <c:plotArea>
      <c:layout/>
      <c:pieChart>
        <c:varyColors val="1"/>
        <c:ser>
          <c:idx val="0"/>
          <c:order val="0"/>
          <c:tx>
            <c:strRef>
              <c:f>Tablas!$B$25</c:f>
              <c:strCache>
                <c:ptCount val="1"/>
                <c:pt idx="0">
                  <c:v>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A8DB-4A85-ADC1-380EC96700A3}"/>
              </c:ext>
            </c:extLst>
          </c:dPt>
          <c:dPt>
            <c:idx val="1"/>
            <c:bubble3D val="0"/>
            <c:spPr>
              <a:solidFill>
                <a:schemeClr val="accent5"/>
              </a:solidFill>
              <a:ln w="19050">
                <a:noFill/>
              </a:ln>
              <a:effectLst/>
            </c:spPr>
            <c:extLst>
              <c:ext xmlns:c16="http://schemas.microsoft.com/office/drawing/2014/chart" uri="{C3380CC4-5D6E-409C-BE32-E72D297353CC}">
                <c16:uniqueId val="{00000003-A8DB-4A85-ADC1-380EC96700A3}"/>
              </c:ext>
            </c:extLst>
          </c:dPt>
          <c:cat>
            <c:strRef>
              <c:f>Tablas!$A$26:$A$28</c:f>
              <c:strCache>
                <c:ptCount val="2"/>
                <c:pt idx="0">
                  <c:v>Hombre</c:v>
                </c:pt>
                <c:pt idx="1">
                  <c:v>Mujer</c:v>
                </c:pt>
              </c:strCache>
            </c:strRef>
          </c:cat>
          <c:val>
            <c:numRef>
              <c:f>Tablas!$B$26:$B$28</c:f>
              <c:numCache>
                <c:formatCode>0.00%</c:formatCode>
                <c:ptCount val="2"/>
                <c:pt idx="0">
                  <c:v>0.5362776025236593</c:v>
                </c:pt>
                <c:pt idx="1">
                  <c:v>0.4637223974763407</c:v>
                </c:pt>
              </c:numCache>
            </c:numRef>
          </c:val>
          <c:extLst>
            <c:ext xmlns:c16="http://schemas.microsoft.com/office/drawing/2014/chart" uri="{C3380CC4-5D6E-409C-BE32-E72D297353CC}">
              <c16:uniqueId val="{00000004-A8DB-4A85-ADC1-380EC96700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436837570876157"/>
          <c:y val="0.31249808617505359"/>
          <c:w val="0.23295986856604756"/>
          <c:h val="0.37500295275848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5"/>
            </a:solidFill>
            <a:ln>
              <a:noFill/>
            </a:ln>
            <a:effectLst/>
          </c:spPr>
          <c:invertIfNegative val="0"/>
          <c:val>
            <c:numRef>
              <c:f>Tablas!$D$56</c:f>
              <c:numCache>
                <c:formatCode>General</c:formatCode>
                <c:ptCount val="1"/>
                <c:pt idx="0">
                  <c:v>0.60650630914826498</c:v>
                </c:pt>
              </c:numCache>
            </c:numRef>
          </c:val>
          <c:extLst>
            <c:ext xmlns:c16="http://schemas.microsoft.com/office/drawing/2014/chart" uri="{C3380CC4-5D6E-409C-BE32-E72D297353CC}">
              <c16:uniqueId val="{00000000-11DC-42C4-A5A7-D400493053BF}"/>
            </c:ext>
          </c:extLst>
        </c:ser>
        <c:ser>
          <c:idx val="1"/>
          <c:order val="1"/>
          <c:spPr>
            <a:solidFill>
              <a:schemeClr val="bg2">
                <a:lumMod val="90000"/>
              </a:schemeClr>
            </a:solidFill>
            <a:ln>
              <a:solidFill>
                <a:schemeClr val="tx1"/>
              </a:solid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11DC-42C4-A5A7-D400493053BF}"/>
              </c:ext>
            </c:extLst>
          </c:dPt>
          <c:val>
            <c:numRef>
              <c:f>Tablas!$E$56</c:f>
              <c:numCache>
                <c:formatCode>General</c:formatCode>
                <c:ptCount val="1"/>
                <c:pt idx="0">
                  <c:v>0.39349369085173502</c:v>
                </c:pt>
              </c:numCache>
            </c:numRef>
          </c:val>
          <c:extLst>
            <c:ext xmlns:c16="http://schemas.microsoft.com/office/drawing/2014/chart" uri="{C3380CC4-5D6E-409C-BE32-E72D297353CC}">
              <c16:uniqueId val="{00000001-11DC-42C4-A5A7-D400493053BF}"/>
            </c:ext>
          </c:extLst>
        </c:ser>
        <c:dLbls>
          <c:showLegendKey val="0"/>
          <c:showVal val="0"/>
          <c:showCatName val="0"/>
          <c:showSerName val="0"/>
          <c:showPercent val="0"/>
          <c:showBubbleSize val="0"/>
        </c:dLbls>
        <c:gapWidth val="150"/>
        <c:overlap val="100"/>
        <c:axId val="196244608"/>
        <c:axId val="196246144"/>
      </c:barChart>
      <c:catAx>
        <c:axId val="196244608"/>
        <c:scaling>
          <c:orientation val="minMax"/>
        </c:scaling>
        <c:delete val="1"/>
        <c:axPos val="l"/>
        <c:majorTickMark val="none"/>
        <c:minorTickMark val="none"/>
        <c:tickLblPos val="nextTo"/>
        <c:crossAx val="196246144"/>
        <c:crosses val="autoZero"/>
        <c:auto val="1"/>
        <c:lblAlgn val="ctr"/>
        <c:lblOffset val="100"/>
        <c:noMultiLvlLbl val="0"/>
      </c:catAx>
      <c:valAx>
        <c:axId val="196246144"/>
        <c:scaling>
          <c:orientation val="minMax"/>
        </c:scaling>
        <c:delete val="1"/>
        <c:axPos val="b"/>
        <c:numFmt formatCode="0%" sourceLinked="1"/>
        <c:majorTickMark val="none"/>
        <c:minorTickMark val="none"/>
        <c:tickLblPos val="nextTo"/>
        <c:crossAx val="19624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17CA2C9-034A-45A1-AA7B-0A54CF8C1792}">
          <cx:spPr>
            <a:ln>
              <a:noFill/>
            </a:ln>
          </cx:spPr>
          <cx:dataPt idx="0">
            <cx:spPr>
              <a:solidFill>
                <a:srgbClr val="5B9BD5"/>
              </a:solidFill>
            </cx:spPr>
          </cx:dataPt>
          <cx:dataPt idx="1">
            <cx:spPr>
              <a:solidFill>
                <a:srgbClr val="FFC000"/>
              </a:solidFill>
            </cx:spPr>
          </cx:dataPt>
          <cx:dataPt idx="3">
            <cx:spPr>
              <a:solidFill>
                <a:srgbClr val="70AD47"/>
              </a:solidFill>
            </cx:spPr>
          </cx:dataPt>
          <cx:dataPt idx="4">
            <cx:spPr>
              <a:solidFill>
                <a:srgbClr val="4472C4"/>
              </a:solidFill>
            </cx:spPr>
          </cx:dataPt>
          <cx:dataLabels pos="inEnd">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6.xml"/><Relationship Id="rId12" Type="http://schemas.microsoft.com/office/2007/relationships/hdphoto" Target="../media/hdphoto1.wdp"/><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2</xdr:col>
      <xdr:colOff>258532</xdr:colOff>
      <xdr:row>5</xdr:row>
      <xdr:rowOff>135722</xdr:rowOff>
    </xdr:to>
    <xdr:pic>
      <xdr:nvPicPr>
        <xdr:cNvPr id="2" name="1 Imagen" descr="Image result for health">
          <a:extLst>
            <a:ext uri="{FF2B5EF4-FFF2-40B4-BE49-F238E27FC236}">
              <a16:creationId xmlns:a16="http://schemas.microsoft.com/office/drawing/2014/main" id="{4352F52C-7FE2-4F19-8DDC-88DC05DB04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76200"/>
          <a:ext cx="1363432" cy="1012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467745</xdr:colOff>
      <xdr:row>7</xdr:row>
      <xdr:rowOff>78241</xdr:rowOff>
    </xdr:from>
    <xdr:to>
      <xdr:col>14</xdr:col>
      <xdr:colOff>258536</xdr:colOff>
      <xdr:row>21</xdr:row>
      <xdr:rowOff>149679</xdr:rowOff>
    </xdr:to>
    <xdr:graphicFrame macro="">
      <xdr:nvGraphicFramePr>
        <xdr:cNvPr id="3" name="Chart 2">
          <a:extLst>
            <a:ext uri="{FF2B5EF4-FFF2-40B4-BE49-F238E27FC236}">
              <a16:creationId xmlns:a16="http://schemas.microsoft.com/office/drawing/2014/main" id="{9D3159F7-3193-4425-9891-A2C673A05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341538</xdr:colOff>
      <xdr:row>23</xdr:row>
      <xdr:rowOff>175192</xdr:rowOff>
    </xdr:from>
    <xdr:to>
      <xdr:col>12</xdr:col>
      <xdr:colOff>232000</xdr:colOff>
      <xdr:row>36</xdr:row>
      <xdr:rowOff>104256</xdr:rowOff>
    </xdr:to>
    <xdr:graphicFrame macro="">
      <xdr:nvGraphicFramePr>
        <xdr:cNvPr id="4" name="Chart 3">
          <a:extLst>
            <a:ext uri="{FF2B5EF4-FFF2-40B4-BE49-F238E27FC236}">
              <a16:creationId xmlns:a16="http://schemas.microsoft.com/office/drawing/2014/main" id="{6D2A2718-3967-47FF-BAE1-ED6EC9CEC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340180</xdr:colOff>
      <xdr:row>23</xdr:row>
      <xdr:rowOff>123823</xdr:rowOff>
    </xdr:from>
    <xdr:to>
      <xdr:col>17</xdr:col>
      <xdr:colOff>230642</xdr:colOff>
      <xdr:row>36</xdr:row>
      <xdr:rowOff>52887</xdr:rowOff>
    </xdr:to>
    <xdr:graphicFrame macro="">
      <xdr:nvGraphicFramePr>
        <xdr:cNvPr id="5" name="Chart 4">
          <a:extLst>
            <a:ext uri="{FF2B5EF4-FFF2-40B4-BE49-F238E27FC236}">
              <a16:creationId xmlns:a16="http://schemas.microsoft.com/office/drawing/2014/main" id="{840BCB20-6B43-44B2-84D8-D58FA4CC8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192882</xdr:colOff>
      <xdr:row>23</xdr:row>
      <xdr:rowOff>74497</xdr:rowOff>
    </xdr:from>
    <xdr:to>
      <xdr:col>22</xdr:col>
      <xdr:colOff>83344</xdr:colOff>
      <xdr:row>36</xdr:row>
      <xdr:rowOff>3561</xdr:rowOff>
    </xdr:to>
    <xdr:graphicFrame macro="">
      <xdr:nvGraphicFramePr>
        <xdr:cNvPr id="6" name="Chart 5">
          <a:extLst>
            <a:ext uri="{FF2B5EF4-FFF2-40B4-BE49-F238E27FC236}">
              <a16:creationId xmlns:a16="http://schemas.microsoft.com/office/drawing/2014/main" id="{F3E38595-09EC-452A-94AA-A915A829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204108</xdr:colOff>
      <xdr:row>1</xdr:row>
      <xdr:rowOff>144236</xdr:rowOff>
    </xdr:from>
    <xdr:to>
      <xdr:col>9</xdr:col>
      <xdr:colOff>366033</xdr:colOff>
      <xdr:row>4</xdr:row>
      <xdr:rowOff>153761</xdr:rowOff>
    </xdr:to>
    <xdr:sp macro="" textlink="Tablas!$A$4">
      <xdr:nvSpPr>
        <xdr:cNvPr id="7" name="TextBox 6">
          <a:extLst>
            <a:ext uri="{FF2B5EF4-FFF2-40B4-BE49-F238E27FC236}">
              <a16:creationId xmlns:a16="http://schemas.microsoft.com/office/drawing/2014/main" id="{D5D3345F-3652-4D3E-8946-EB4855576A9D}"/>
            </a:ext>
          </a:extLst>
        </xdr:cNvPr>
        <xdr:cNvSpPr txBox="1"/>
      </xdr:nvSpPr>
      <xdr:spPr>
        <a:xfrm>
          <a:off x="5102679" y="334736"/>
          <a:ext cx="774247"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D484C6A9-5CB4-42D2-BC79-9E66872699A1}" type="TxLink">
            <a:rPr lang="en-US" sz="2400" b="0" i="0" u="none" strike="noStrike">
              <a:solidFill>
                <a:schemeClr val="tx1">
                  <a:lumMod val="65000"/>
                  <a:lumOff val="35000"/>
                </a:schemeClr>
              </a:solidFill>
              <a:latin typeface="Impact" panose="020B0806030902050204" pitchFamily="34" charset="0"/>
              <a:cs typeface="Calibri"/>
            </a:rPr>
            <a:pPr/>
            <a:t>1,9</a:t>
          </a:fld>
          <a:endParaRPr lang="es-ES" sz="2400">
            <a:solidFill>
              <a:schemeClr val="tx1">
                <a:lumMod val="65000"/>
                <a:lumOff val="35000"/>
              </a:schemeClr>
            </a:solidFill>
            <a:latin typeface="Impact" panose="020B0806030902050204" pitchFamily="34" charset="0"/>
          </a:endParaRPr>
        </a:p>
      </xdr:txBody>
    </xdr:sp>
    <xdr:clientData/>
  </xdr:twoCellAnchor>
  <xdr:twoCellAnchor>
    <xdr:from>
      <xdr:col>4</xdr:col>
      <xdr:colOff>118382</xdr:colOff>
      <xdr:row>2</xdr:row>
      <xdr:rowOff>16329</xdr:rowOff>
    </xdr:from>
    <xdr:to>
      <xdr:col>6</xdr:col>
      <xdr:colOff>32657</xdr:colOff>
      <xdr:row>5</xdr:row>
      <xdr:rowOff>25854</xdr:rowOff>
    </xdr:to>
    <xdr:sp macro="" textlink="Tablas!$C$8">
      <xdr:nvSpPr>
        <xdr:cNvPr id="8" name="TextBox 7">
          <a:extLst>
            <a:ext uri="{FF2B5EF4-FFF2-40B4-BE49-F238E27FC236}">
              <a16:creationId xmlns:a16="http://schemas.microsoft.com/office/drawing/2014/main" id="{709BAE49-C959-4807-8654-A30F03139968}"/>
            </a:ext>
          </a:extLst>
        </xdr:cNvPr>
        <xdr:cNvSpPr txBox="1"/>
      </xdr:nvSpPr>
      <xdr:spPr>
        <a:xfrm>
          <a:off x="2567668" y="397329"/>
          <a:ext cx="1138918"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36A92EE7-C111-4FC1-A9A7-70B2B8618E0D}" type="TxLink">
            <a:rPr lang="en-US" sz="2400" b="0" i="0" u="none" strike="noStrike">
              <a:solidFill>
                <a:schemeClr val="tx1">
                  <a:lumMod val="65000"/>
                  <a:lumOff val="35000"/>
                </a:schemeClr>
              </a:solidFill>
              <a:latin typeface="Impact" panose="020B0806030902050204" pitchFamily="34" charset="0"/>
              <a:cs typeface="Calibri"/>
            </a:rPr>
            <a:pPr/>
            <a:t> ₡54 353 </a:t>
          </a:fld>
          <a:endParaRPr lang="es-ES" sz="8800">
            <a:solidFill>
              <a:schemeClr val="tx1">
                <a:lumMod val="65000"/>
                <a:lumOff val="35000"/>
              </a:schemeClr>
            </a:solidFill>
            <a:latin typeface="Impact" panose="020B0806030902050204" pitchFamily="34" charset="0"/>
          </a:endParaRPr>
        </a:p>
      </xdr:txBody>
    </xdr:sp>
    <xdr:clientData/>
  </xdr:twoCellAnchor>
  <xdr:twoCellAnchor>
    <xdr:from>
      <xdr:col>3</xdr:col>
      <xdr:colOff>442232</xdr:colOff>
      <xdr:row>15</xdr:row>
      <xdr:rowOff>54429</xdr:rowOff>
    </xdr:from>
    <xdr:to>
      <xdr:col>7</xdr:col>
      <xdr:colOff>340178</xdr:colOff>
      <xdr:row>21</xdr:row>
      <xdr:rowOff>136071</xdr:rowOff>
    </xdr:to>
    <xdr:graphicFrame macro="">
      <xdr:nvGraphicFramePr>
        <xdr:cNvPr id="10" name="Chart 9">
          <a:extLst>
            <a:ext uri="{FF2B5EF4-FFF2-40B4-BE49-F238E27FC236}">
              <a16:creationId xmlns:a16="http://schemas.microsoft.com/office/drawing/2014/main" id="{44404255-BBCD-432B-ABB6-1CC7639FF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185735</xdr:colOff>
      <xdr:row>23</xdr:row>
      <xdr:rowOff>85043</xdr:rowOff>
    </xdr:from>
    <xdr:to>
      <xdr:col>7</xdr:col>
      <xdr:colOff>238125</xdr:colOff>
      <xdr:row>36</xdr:row>
      <xdr:rowOff>113618</xdr:rowOff>
    </xdr:to>
    <xdr:graphicFrame macro="">
      <xdr:nvGraphicFramePr>
        <xdr:cNvPr id="11" name="Chart 10">
          <a:extLst>
            <a:ext uri="{FF2B5EF4-FFF2-40B4-BE49-F238E27FC236}">
              <a16:creationId xmlns:a16="http://schemas.microsoft.com/office/drawing/2014/main" id="{C9DA0D51-D5D3-46E7-8242-1CB881444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340180</xdr:colOff>
      <xdr:row>7</xdr:row>
      <xdr:rowOff>48985</xdr:rowOff>
    </xdr:from>
    <xdr:to>
      <xdr:col>7</xdr:col>
      <xdr:colOff>367393</xdr:colOff>
      <xdr:row>13</xdr:row>
      <xdr:rowOff>95250</xdr:rowOff>
    </xdr:to>
    <xdr:graphicFrame macro="">
      <xdr:nvGraphicFramePr>
        <xdr:cNvPr id="12" name="Chart 11">
          <a:extLst>
            <a:ext uri="{FF2B5EF4-FFF2-40B4-BE49-F238E27FC236}">
              <a16:creationId xmlns:a16="http://schemas.microsoft.com/office/drawing/2014/main" id="{1F14B935-2D65-4ABD-BEF2-FECDA0014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95250</xdr:colOff>
      <xdr:row>6</xdr:row>
      <xdr:rowOff>10204</xdr:rowOff>
    </xdr:from>
    <xdr:to>
      <xdr:col>21</xdr:col>
      <xdr:colOff>435429</xdr:colOff>
      <xdr:row>21</xdr:row>
      <xdr:rowOff>95250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F9546E6-EC1A-4FAA-BCAC-57A368BB8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39250" y="1153204"/>
              <a:ext cx="3997779" cy="2942546"/>
            </a:xfrm>
            <a:prstGeom prst="rect">
              <a:avLst/>
            </a:prstGeom>
            <a:solidFill>
              <a:prstClr val="white"/>
            </a:solidFill>
            <a:ln w="1">
              <a:solidFill>
                <a:prstClr val="green"/>
              </a:solidFill>
            </a:ln>
          </xdr:spPr>
          <xdr:txBody>
            <a:bodyPr vertOverflow="clip" horzOverflow="clip"/>
            <a:lstStyle/>
            <a:p>
              <a:r>
                <a:rPr lang="en-U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15</xdr:col>
      <xdr:colOff>270783</xdr:colOff>
      <xdr:row>0</xdr:row>
      <xdr:rowOff>95249</xdr:rowOff>
    </xdr:from>
    <xdr:to>
      <xdr:col>16</xdr:col>
      <xdr:colOff>111938</xdr:colOff>
      <xdr:row>4</xdr:row>
      <xdr:rowOff>88146</xdr:rowOff>
    </xdr:to>
    <xdr:pic>
      <xdr:nvPicPr>
        <xdr:cNvPr id="9" name="Picture 8">
          <a:extLst>
            <a:ext uri="{FF2B5EF4-FFF2-40B4-BE49-F238E27FC236}">
              <a16:creationId xmlns:a16="http://schemas.microsoft.com/office/drawing/2014/main" id="{FBCB0C34-B715-4200-B353-7212BE943CC7}"/>
            </a:ext>
          </a:extLst>
        </xdr:cNvPr>
        <xdr:cNvPicPr>
          <a:picLocks noChangeAspect="1"/>
        </xdr:cNvPicPr>
      </xdr:nvPicPr>
      <xdr:blipFill>
        <a:blip xmlns:r="http://schemas.openxmlformats.org/officeDocument/2006/relationships" r:embed="rId10">
          <a:clrChange>
            <a:clrFrom>
              <a:srgbClr val="F8FAFB"/>
            </a:clrFrom>
            <a:clrTo>
              <a:srgbClr val="F8FAFB">
                <a:alpha val="0"/>
              </a:srgbClr>
            </a:clrTo>
          </a:clrChange>
          <a:duotone>
            <a:schemeClr val="accent3">
              <a:shade val="45000"/>
              <a:satMod val="135000"/>
            </a:schemeClr>
            <a:prstClr val="white"/>
          </a:duotone>
        </a:blip>
        <a:stretch>
          <a:fillRect/>
        </a:stretch>
      </xdr:blipFill>
      <xdr:spPr>
        <a:xfrm>
          <a:off x="9455604" y="95249"/>
          <a:ext cx="453477" cy="754897"/>
        </a:xfrm>
        <a:prstGeom prst="rect">
          <a:avLst/>
        </a:prstGeom>
      </xdr:spPr>
    </xdr:pic>
    <xdr:clientData/>
  </xdr:twoCellAnchor>
  <xdr:twoCellAnchor editAs="oneCell">
    <xdr:from>
      <xdr:col>20</xdr:col>
      <xdr:colOff>400051</xdr:colOff>
      <xdr:row>1</xdr:row>
      <xdr:rowOff>68036</xdr:rowOff>
    </xdr:from>
    <xdr:to>
      <xdr:col>21</xdr:col>
      <xdr:colOff>380423</xdr:colOff>
      <xdr:row>4</xdr:row>
      <xdr:rowOff>172831</xdr:rowOff>
    </xdr:to>
    <xdr:pic>
      <xdr:nvPicPr>
        <xdr:cNvPr id="17" name="Picture 16">
          <a:extLst>
            <a:ext uri="{FF2B5EF4-FFF2-40B4-BE49-F238E27FC236}">
              <a16:creationId xmlns:a16="http://schemas.microsoft.com/office/drawing/2014/main" id="{08A39A8A-FEAA-415E-88F1-27298BE5EDBF}"/>
            </a:ext>
          </a:extLst>
        </xdr:cNvPr>
        <xdr:cNvPicPr>
          <a:picLocks noChangeAspect="1"/>
        </xdr:cNvPicPr>
      </xdr:nvPicPr>
      <xdr:blipFill>
        <a:blip xmlns:r="http://schemas.openxmlformats.org/officeDocument/2006/relationships" r:embed="rId11">
          <a:clrChange>
            <a:clrFrom>
              <a:srgbClr val="FAFAFA"/>
            </a:clrFrom>
            <a:clrTo>
              <a:srgbClr val="FAFAFA">
                <a:alpha val="0"/>
              </a:srgbClr>
            </a:clrTo>
          </a:clrChange>
          <a:duotone>
            <a:schemeClr val="accent3">
              <a:shade val="45000"/>
              <a:satMod val="135000"/>
            </a:schemeClr>
            <a:prstClr val="white"/>
          </a:duotone>
          <a:extLst>
            <a:ext uri="{BEBA8EAE-BF5A-486C-A8C5-ECC9F3942E4B}">
              <a14:imgProps xmlns:a14="http://schemas.microsoft.com/office/drawing/2010/main">
                <a14:imgLayer r:embed="rId12">
                  <a14:imgEffect>
                    <a14:backgroundRemoval t="2612" b="93657" l="7265" r="91453">
                      <a14:foregroundMark x1="7692" y1="50000" x2="7692" y2="50000"/>
                      <a14:foregroundMark x1="47436" y1="3358" x2="47436" y2="3358"/>
                      <a14:foregroundMark x1="91880" y1="49254" x2="91880" y2="49254"/>
                      <a14:foregroundMark x1="74359" y1="92164" x2="74359" y2="92164"/>
                      <a14:foregroundMark x1="26068" y1="93657" x2="26068" y2="93657"/>
                    </a14:backgroundRemoval>
                  </a14:imgEffect>
                </a14:imgLayer>
              </a14:imgProps>
            </a:ext>
          </a:extLst>
        </a:blip>
        <a:stretch>
          <a:fillRect/>
        </a:stretch>
      </xdr:blipFill>
      <xdr:spPr>
        <a:xfrm>
          <a:off x="12646480" y="258536"/>
          <a:ext cx="592693" cy="676295"/>
        </a:xfrm>
        <a:prstGeom prst="rect">
          <a:avLst/>
        </a:prstGeom>
      </xdr:spPr>
    </xdr:pic>
    <xdr:clientData/>
  </xdr:twoCellAnchor>
  <xdr:twoCellAnchor>
    <xdr:from>
      <xdr:col>11</xdr:col>
      <xdr:colOff>332016</xdr:colOff>
      <xdr:row>1</xdr:row>
      <xdr:rowOff>153761</xdr:rowOff>
    </xdr:from>
    <xdr:to>
      <xdr:col>12</xdr:col>
      <xdr:colOff>493941</xdr:colOff>
      <xdr:row>4</xdr:row>
      <xdr:rowOff>163286</xdr:rowOff>
    </xdr:to>
    <xdr:sp macro="" textlink="Tablas!$A$60">
      <xdr:nvSpPr>
        <xdr:cNvPr id="24" name="TextBox 23">
          <a:extLst>
            <a:ext uri="{FF2B5EF4-FFF2-40B4-BE49-F238E27FC236}">
              <a16:creationId xmlns:a16="http://schemas.microsoft.com/office/drawing/2014/main" id="{67E62404-24FC-448C-AB06-34C5404F7759}"/>
            </a:ext>
          </a:extLst>
        </xdr:cNvPr>
        <xdr:cNvSpPr txBox="1"/>
      </xdr:nvSpPr>
      <xdr:spPr>
        <a:xfrm>
          <a:off x="7067552" y="344261"/>
          <a:ext cx="77424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29EF7D84-724E-4E6E-8383-EACFF6FEC712}" type="TxLink">
            <a:rPr lang="en-US" sz="2400" b="0" i="0" u="none" strike="noStrike">
              <a:solidFill>
                <a:schemeClr val="tx1">
                  <a:lumMod val="65000"/>
                  <a:lumOff val="35000"/>
                </a:schemeClr>
              </a:solidFill>
              <a:latin typeface="Impact" panose="020B0806030902050204" pitchFamily="34" charset="0"/>
              <a:cs typeface="Calibri"/>
            </a:rPr>
            <a:pPr/>
            <a:t>634</a:t>
          </a:fld>
          <a:endParaRPr lang="es-ES" sz="2400">
            <a:solidFill>
              <a:schemeClr val="tx1">
                <a:lumMod val="65000"/>
                <a:lumOff val="35000"/>
              </a:schemeClr>
            </a:solidFill>
            <a:latin typeface="Impact" panose="020B0806030902050204" pitchFamily="34" charset="0"/>
          </a:endParaRPr>
        </a:p>
      </xdr:txBody>
    </xdr:sp>
    <xdr:clientData/>
  </xdr:twoCellAnchor>
  <xdr:twoCellAnchor>
    <xdr:from>
      <xdr:col>16</xdr:col>
      <xdr:colOff>102055</xdr:colOff>
      <xdr:row>1</xdr:row>
      <xdr:rowOff>32659</xdr:rowOff>
    </xdr:from>
    <xdr:to>
      <xdr:col>20</xdr:col>
      <xdr:colOff>421821</xdr:colOff>
      <xdr:row>5</xdr:row>
      <xdr:rowOff>146959</xdr:rowOff>
    </xdr:to>
    <xdr:graphicFrame macro="">
      <xdr:nvGraphicFramePr>
        <xdr:cNvPr id="26" name="Chart 25">
          <a:extLst>
            <a:ext uri="{FF2B5EF4-FFF2-40B4-BE49-F238E27FC236}">
              <a16:creationId xmlns:a16="http://schemas.microsoft.com/office/drawing/2014/main" id="{90E47DE6-A86E-4CFB-B265-36138AB5D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604836</xdr:colOff>
      <xdr:row>3</xdr:row>
      <xdr:rowOff>127226</xdr:rowOff>
    </xdr:from>
    <xdr:to>
      <xdr:col>19</xdr:col>
      <xdr:colOff>154440</xdr:colOff>
      <xdr:row>6</xdr:row>
      <xdr:rowOff>136751</xdr:rowOff>
    </xdr:to>
    <xdr:sp macro="" textlink="Tablas!$C$56">
      <xdr:nvSpPr>
        <xdr:cNvPr id="22" name="TextBox 21">
          <a:extLst>
            <a:ext uri="{FF2B5EF4-FFF2-40B4-BE49-F238E27FC236}">
              <a16:creationId xmlns:a16="http://schemas.microsoft.com/office/drawing/2014/main" id="{65C27301-6876-4A65-A601-838F3D2C1EA8}"/>
            </a:ext>
          </a:extLst>
        </xdr:cNvPr>
        <xdr:cNvSpPr txBox="1"/>
      </xdr:nvSpPr>
      <xdr:spPr>
        <a:xfrm>
          <a:off x="11014300" y="698726"/>
          <a:ext cx="774247"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46B0935A-609B-4B0E-897D-C78099C8A1C8}" type="TxLink">
            <a:rPr lang="en-US" sz="2400" b="0" i="0" u="none" strike="noStrike">
              <a:solidFill>
                <a:schemeClr val="tx1">
                  <a:lumMod val="65000"/>
                  <a:lumOff val="35000"/>
                </a:schemeClr>
              </a:solidFill>
              <a:latin typeface="Impact" panose="020B0806030902050204" pitchFamily="34" charset="0"/>
              <a:cs typeface="Calibri"/>
            </a:rPr>
            <a:pPr/>
            <a:t>24%</a:t>
          </a:fld>
          <a:endParaRPr lang="es-ES" sz="2400">
            <a:solidFill>
              <a:schemeClr val="tx1">
                <a:lumMod val="65000"/>
                <a:lumOff val="35000"/>
              </a:schemeClr>
            </a:solidFill>
            <a:latin typeface="Impact" panose="020B0806030902050204" pitchFamily="34" charset="0"/>
          </a:endParaRPr>
        </a:p>
      </xdr:txBody>
    </xdr:sp>
    <xdr:clientData/>
  </xdr:twoCellAnchor>
  <xdr:twoCellAnchor editAs="oneCell">
    <xdr:from>
      <xdr:col>0</xdr:col>
      <xdr:colOff>54427</xdr:colOff>
      <xdr:row>7</xdr:row>
      <xdr:rowOff>95249</xdr:rowOff>
    </xdr:from>
    <xdr:to>
      <xdr:col>3</xdr:col>
      <xdr:colOff>46263</xdr:colOff>
      <xdr:row>13</xdr:row>
      <xdr:rowOff>27214</xdr:rowOff>
    </xdr:to>
    <mc:AlternateContent xmlns:mc="http://schemas.openxmlformats.org/markup-compatibility/2006" xmlns:a14="http://schemas.microsoft.com/office/drawing/2010/main">
      <mc:Choice Requires="a14">
        <xdr:graphicFrame macro="">
          <xdr:nvGraphicFramePr>
            <xdr:cNvPr id="27" name="Tipo trabajador">
              <a:extLst>
                <a:ext uri="{FF2B5EF4-FFF2-40B4-BE49-F238E27FC236}">
                  <a16:creationId xmlns:a16="http://schemas.microsoft.com/office/drawing/2014/main" id="{F6B8505F-701B-4792-85CD-0675883C299A}"/>
                </a:ext>
              </a:extLst>
            </xdr:cNvPr>
            <xdr:cNvGraphicFramePr/>
          </xdr:nvGraphicFramePr>
          <xdr:xfrm>
            <a:off x="0" y="0"/>
            <a:ext cx="0" cy="0"/>
          </xdr:xfrm>
          <a:graphic>
            <a:graphicData uri="http://schemas.microsoft.com/office/drawing/2010/slicer">
              <sle:slicer xmlns:sle="http://schemas.microsoft.com/office/drawing/2010/slicer" name="Tipo trabajador"/>
            </a:graphicData>
          </a:graphic>
        </xdr:graphicFrame>
      </mc:Choice>
      <mc:Fallback xmlns="">
        <xdr:sp macro="" textlink="">
          <xdr:nvSpPr>
            <xdr:cNvPr id="0" name=""/>
            <xdr:cNvSpPr>
              <a:spLocks noTextEdit="1"/>
            </xdr:cNvSpPr>
          </xdr:nvSpPr>
          <xdr:spPr>
            <a:xfrm>
              <a:off x="54427" y="1428749"/>
              <a:ext cx="1828800" cy="107496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12</xdr:row>
      <xdr:rowOff>136072</xdr:rowOff>
    </xdr:from>
    <xdr:to>
      <xdr:col>3</xdr:col>
      <xdr:colOff>59871</xdr:colOff>
      <xdr:row>18</xdr:row>
      <xdr:rowOff>54429</xdr:rowOff>
    </xdr:to>
    <mc:AlternateContent xmlns:mc="http://schemas.openxmlformats.org/markup-compatibility/2006" xmlns:a14="http://schemas.microsoft.com/office/drawing/2010/main">
      <mc:Choice Requires="a14">
        <xdr:graphicFrame macro="">
          <xdr:nvGraphicFramePr>
            <xdr:cNvPr id="28" name="Sexo">
              <a:extLst>
                <a:ext uri="{FF2B5EF4-FFF2-40B4-BE49-F238E27FC236}">
                  <a16:creationId xmlns:a16="http://schemas.microsoft.com/office/drawing/2014/main" id="{F3896948-FA4E-494A-9CE2-5D2D98A8DCB5}"/>
                </a:ext>
              </a:extLst>
            </xdr:cNvPr>
            <xdr:cNvGraphicFramePr/>
          </xdr:nvGraphicFramePr>
          <xdr:xfrm>
            <a:off x="0" y="0"/>
            <a:ext cx="0" cy="0"/>
          </xdr:xfrm>
          <a:graphic>
            <a:graphicData uri="http://schemas.microsoft.com/office/drawing/2010/slicer">
              <sle:slicer xmlns:sle="http://schemas.microsoft.com/office/drawing/2010/slicer" name="Sexo"/>
            </a:graphicData>
          </a:graphic>
        </xdr:graphicFrame>
      </mc:Choice>
      <mc:Fallback xmlns="">
        <xdr:sp macro="" textlink="">
          <xdr:nvSpPr>
            <xdr:cNvPr id="0" name=""/>
            <xdr:cNvSpPr>
              <a:spLocks noTextEdit="1"/>
            </xdr:cNvSpPr>
          </xdr:nvSpPr>
          <xdr:spPr>
            <a:xfrm>
              <a:off x="68035" y="2422072"/>
              <a:ext cx="1828800" cy="1061357"/>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18</xdr:row>
      <xdr:rowOff>27215</xdr:rowOff>
    </xdr:from>
    <xdr:to>
      <xdr:col>3</xdr:col>
      <xdr:colOff>81643</xdr:colOff>
      <xdr:row>37</xdr:row>
      <xdr:rowOff>95250</xdr:rowOff>
    </xdr:to>
    <mc:AlternateContent xmlns:mc="http://schemas.openxmlformats.org/markup-compatibility/2006" xmlns:a14="http://schemas.microsoft.com/office/drawing/2010/main">
      <mc:Choice Requires="a14">
        <xdr:graphicFrame macro="">
          <xdr:nvGraphicFramePr>
            <xdr:cNvPr id="29" name="Área ">
              <a:extLst>
                <a:ext uri="{FF2B5EF4-FFF2-40B4-BE49-F238E27FC236}">
                  <a16:creationId xmlns:a16="http://schemas.microsoft.com/office/drawing/2014/main" id="{C0357A6E-4BEA-4CCC-B231-67987FEC6CE2}"/>
                </a:ext>
              </a:extLst>
            </xdr:cNvPr>
            <xdr:cNvGraphicFramePr/>
          </xdr:nvGraphicFramePr>
          <xdr:xfrm>
            <a:off x="0" y="0"/>
            <a:ext cx="0" cy="0"/>
          </xdr:xfrm>
          <a:graphic>
            <a:graphicData uri="http://schemas.microsoft.com/office/drawing/2010/slicer">
              <sle:slicer xmlns:sle="http://schemas.microsoft.com/office/drawing/2010/slicer" name="Área "/>
            </a:graphicData>
          </a:graphic>
        </xdr:graphicFrame>
      </mc:Choice>
      <mc:Fallback xmlns="">
        <xdr:sp macro="" textlink="">
          <xdr:nvSpPr>
            <xdr:cNvPr id="0" name=""/>
            <xdr:cNvSpPr>
              <a:spLocks noTextEdit="1"/>
            </xdr:cNvSpPr>
          </xdr:nvSpPr>
          <xdr:spPr>
            <a:xfrm>
              <a:off x="68035" y="3456215"/>
              <a:ext cx="1850572" cy="368753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340179</xdr:colOff>
      <xdr:row>0</xdr:row>
      <xdr:rowOff>122464</xdr:rowOff>
    </xdr:from>
    <xdr:to>
      <xdr:col>7</xdr:col>
      <xdr:colOff>27215</xdr:colOff>
      <xdr:row>2</xdr:row>
      <xdr:rowOff>122464</xdr:rowOff>
    </xdr:to>
    <xdr:sp macro="" textlink="">
      <xdr:nvSpPr>
        <xdr:cNvPr id="14" name="TextBox 13">
          <a:extLst>
            <a:ext uri="{FF2B5EF4-FFF2-40B4-BE49-F238E27FC236}">
              <a16:creationId xmlns:a16="http://schemas.microsoft.com/office/drawing/2014/main" id="{7D9702E4-B19E-4F8D-8E48-9BA1ECBB54E4}"/>
            </a:ext>
          </a:extLst>
        </xdr:cNvPr>
        <xdr:cNvSpPr txBox="1"/>
      </xdr:nvSpPr>
      <xdr:spPr>
        <a:xfrm>
          <a:off x="2177143" y="122464"/>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Monto promedio</a:t>
          </a:r>
          <a:r>
            <a:rPr lang="es-ES" sz="1200" b="1" baseline="0">
              <a:latin typeface="Arial Narrow" panose="020B0606020202030204" pitchFamily="34" charset="0"/>
            </a:rPr>
            <a:t> de la consulta</a:t>
          </a:r>
          <a:endParaRPr lang="es-ES" sz="1200" b="1">
            <a:latin typeface="Arial Narrow" panose="020B0606020202030204" pitchFamily="34" charset="0"/>
          </a:endParaRPr>
        </a:p>
      </xdr:txBody>
    </xdr:sp>
    <xdr:clientData/>
  </xdr:twoCellAnchor>
  <xdr:twoCellAnchor>
    <xdr:from>
      <xdr:col>7</xdr:col>
      <xdr:colOff>70758</xdr:colOff>
      <xdr:row>0</xdr:row>
      <xdr:rowOff>111578</xdr:rowOff>
    </xdr:from>
    <xdr:to>
      <xdr:col>10</xdr:col>
      <xdr:colOff>370116</xdr:colOff>
      <xdr:row>2</xdr:row>
      <xdr:rowOff>111578</xdr:rowOff>
    </xdr:to>
    <xdr:sp macro="" textlink="">
      <xdr:nvSpPr>
        <xdr:cNvPr id="23" name="TextBox 22">
          <a:extLst>
            <a:ext uri="{FF2B5EF4-FFF2-40B4-BE49-F238E27FC236}">
              <a16:creationId xmlns:a16="http://schemas.microsoft.com/office/drawing/2014/main" id="{CC5F2C7F-B4A4-43BC-95CC-0E8E49EDD190}"/>
            </a:ext>
          </a:extLst>
        </xdr:cNvPr>
        <xdr:cNvSpPr txBox="1"/>
      </xdr:nvSpPr>
      <xdr:spPr>
        <a:xfrm>
          <a:off x="4357008" y="111578"/>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Días</a:t>
          </a:r>
          <a:r>
            <a:rPr lang="es-ES" sz="1200" b="1" baseline="0">
              <a:latin typeface="Arial Narrow" panose="020B0606020202030204" pitchFamily="34" charset="0"/>
            </a:rPr>
            <a:t> promedio de incapacidad</a:t>
          </a:r>
          <a:endParaRPr lang="es-ES" sz="1200" b="1">
            <a:latin typeface="Arial Narrow" panose="020B0606020202030204" pitchFamily="34" charset="0"/>
          </a:endParaRPr>
        </a:p>
      </xdr:txBody>
    </xdr:sp>
    <xdr:clientData/>
  </xdr:twoCellAnchor>
  <xdr:twoCellAnchor>
    <xdr:from>
      <xdr:col>11</xdr:col>
      <xdr:colOff>13607</xdr:colOff>
      <xdr:row>0</xdr:row>
      <xdr:rowOff>114300</xdr:rowOff>
    </xdr:from>
    <xdr:to>
      <xdr:col>13</xdr:col>
      <xdr:colOff>127908</xdr:colOff>
      <xdr:row>2</xdr:row>
      <xdr:rowOff>114300</xdr:rowOff>
    </xdr:to>
    <xdr:sp macro="" textlink="">
      <xdr:nvSpPr>
        <xdr:cNvPr id="25" name="TextBox 24">
          <a:extLst>
            <a:ext uri="{FF2B5EF4-FFF2-40B4-BE49-F238E27FC236}">
              <a16:creationId xmlns:a16="http://schemas.microsoft.com/office/drawing/2014/main" id="{8AA9FDBC-7816-4458-BB3B-F7E2F33E14CE}"/>
            </a:ext>
          </a:extLst>
        </xdr:cNvPr>
        <xdr:cNvSpPr txBox="1"/>
      </xdr:nvSpPr>
      <xdr:spPr>
        <a:xfrm>
          <a:off x="6749143" y="114300"/>
          <a:ext cx="1338944"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Cantidad</a:t>
          </a:r>
          <a:r>
            <a:rPr lang="es-ES" sz="1200" b="1" baseline="0">
              <a:latin typeface="Arial Narrow" panose="020B0606020202030204" pitchFamily="34" charset="0"/>
            </a:rPr>
            <a:t> de citas</a:t>
          </a:r>
          <a:endParaRPr lang="es-ES" sz="1200" b="1">
            <a:latin typeface="Arial Narrow" panose="020B0606020202030204" pitchFamily="34" charset="0"/>
          </a:endParaRPr>
        </a:p>
      </xdr:txBody>
    </xdr:sp>
    <xdr:clientData/>
  </xdr:twoCellAnchor>
  <xdr:twoCellAnchor>
    <xdr:from>
      <xdr:col>16</xdr:col>
      <xdr:colOff>288470</xdr:colOff>
      <xdr:row>0</xdr:row>
      <xdr:rowOff>130629</xdr:rowOff>
    </xdr:from>
    <xdr:to>
      <xdr:col>20</xdr:col>
      <xdr:colOff>272141</xdr:colOff>
      <xdr:row>2</xdr:row>
      <xdr:rowOff>130629</xdr:rowOff>
    </xdr:to>
    <xdr:sp macro="" textlink="">
      <xdr:nvSpPr>
        <xdr:cNvPr id="30" name="TextBox 29">
          <a:extLst>
            <a:ext uri="{FF2B5EF4-FFF2-40B4-BE49-F238E27FC236}">
              <a16:creationId xmlns:a16="http://schemas.microsoft.com/office/drawing/2014/main" id="{68DBA143-2C04-4224-9061-B646C45220BF}"/>
            </a:ext>
          </a:extLst>
        </xdr:cNvPr>
        <xdr:cNvSpPr txBox="1"/>
      </xdr:nvSpPr>
      <xdr:spPr>
        <a:xfrm>
          <a:off x="10085613" y="130629"/>
          <a:ext cx="243295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a:t>
          </a:r>
          <a:r>
            <a:rPr lang="es-ES" sz="1200" b="1" baseline="0">
              <a:latin typeface="Arial Narrow" panose="020B0606020202030204" pitchFamily="34" charset="0"/>
            </a:rPr>
            <a:t> promedio de grasa</a:t>
          </a:r>
          <a:endParaRPr lang="es-ES" sz="1200" b="1">
            <a:latin typeface="Arial Narrow" panose="020B0606020202030204" pitchFamily="34" charset="0"/>
          </a:endParaRPr>
        </a:p>
      </xdr:txBody>
    </xdr:sp>
    <xdr:clientData/>
  </xdr:twoCellAnchor>
  <xdr:twoCellAnchor>
    <xdr:from>
      <xdr:col>3</xdr:col>
      <xdr:colOff>111578</xdr:colOff>
      <xdr:row>5</xdr:row>
      <xdr:rowOff>179614</xdr:rowOff>
    </xdr:from>
    <xdr:to>
      <xdr:col>6</xdr:col>
      <xdr:colOff>410935</xdr:colOff>
      <xdr:row>7</xdr:row>
      <xdr:rowOff>179614</xdr:rowOff>
    </xdr:to>
    <xdr:sp macro="" textlink="">
      <xdr:nvSpPr>
        <xdr:cNvPr id="31" name="TextBox 30">
          <a:extLst>
            <a:ext uri="{FF2B5EF4-FFF2-40B4-BE49-F238E27FC236}">
              <a16:creationId xmlns:a16="http://schemas.microsoft.com/office/drawing/2014/main" id="{654CF8CB-7037-404D-89D2-3591FC2C6558}"/>
            </a:ext>
          </a:extLst>
        </xdr:cNvPr>
        <xdr:cNvSpPr txBox="1"/>
      </xdr:nvSpPr>
      <xdr:spPr>
        <a:xfrm>
          <a:off x="1948542" y="1132114"/>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 de las consultas por sexo</a:t>
          </a:r>
        </a:p>
      </xdr:txBody>
    </xdr:sp>
    <xdr:clientData/>
  </xdr:twoCellAnchor>
  <xdr:twoCellAnchor>
    <xdr:from>
      <xdr:col>3</xdr:col>
      <xdr:colOff>141514</xdr:colOff>
      <xdr:row>13</xdr:row>
      <xdr:rowOff>127907</xdr:rowOff>
    </xdr:from>
    <xdr:to>
      <xdr:col>6</xdr:col>
      <xdr:colOff>190499</xdr:colOff>
      <xdr:row>15</xdr:row>
      <xdr:rowOff>127907</xdr:rowOff>
    </xdr:to>
    <xdr:sp macro="" textlink="">
      <xdr:nvSpPr>
        <xdr:cNvPr id="32" name="TextBox 31">
          <a:extLst>
            <a:ext uri="{FF2B5EF4-FFF2-40B4-BE49-F238E27FC236}">
              <a16:creationId xmlns:a16="http://schemas.microsoft.com/office/drawing/2014/main" id="{75677B3E-E805-40CC-AAC4-39A5DB5E4C2A}"/>
            </a:ext>
          </a:extLst>
        </xdr:cNvPr>
        <xdr:cNvSpPr txBox="1"/>
      </xdr:nvSpPr>
      <xdr:spPr>
        <a:xfrm>
          <a:off x="1978478" y="2604407"/>
          <a:ext cx="1885950"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de las consultas por tipo de trabajador</a:t>
          </a:r>
          <a:endParaRPr lang="es-ES" sz="1200" b="1">
            <a:latin typeface="Arial Narrow" panose="020B0606020202030204" pitchFamily="34" charset="0"/>
          </a:endParaRPr>
        </a:p>
      </xdr:txBody>
    </xdr:sp>
    <xdr:clientData/>
  </xdr:twoCellAnchor>
  <xdr:twoCellAnchor>
    <xdr:from>
      <xdr:col>3</xdr:col>
      <xdr:colOff>212272</xdr:colOff>
      <xdr:row>21</xdr:row>
      <xdr:rowOff>144236</xdr:rowOff>
    </xdr:from>
    <xdr:to>
      <xdr:col>7</xdr:col>
      <xdr:colOff>163286</xdr:colOff>
      <xdr:row>23</xdr:row>
      <xdr:rowOff>144236</xdr:rowOff>
    </xdr:to>
    <xdr:sp macro="" textlink="">
      <xdr:nvSpPr>
        <xdr:cNvPr id="33" name="TextBox 32">
          <a:extLst>
            <a:ext uri="{FF2B5EF4-FFF2-40B4-BE49-F238E27FC236}">
              <a16:creationId xmlns:a16="http://schemas.microsoft.com/office/drawing/2014/main" id="{59F69E70-2C94-4499-B56B-B4AA35249A54}"/>
            </a:ext>
          </a:extLst>
        </xdr:cNvPr>
        <xdr:cNvSpPr txBox="1"/>
      </xdr:nvSpPr>
      <xdr:spPr>
        <a:xfrm>
          <a:off x="2049236" y="4144736"/>
          <a:ext cx="2400300"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de las consultas por edad</a:t>
          </a:r>
          <a:endParaRPr lang="es-ES" sz="1200" b="1">
            <a:latin typeface="Arial Narrow" panose="020B0606020202030204" pitchFamily="34" charset="0"/>
          </a:endParaRPr>
        </a:p>
      </xdr:txBody>
    </xdr:sp>
    <xdr:clientData/>
  </xdr:twoCellAnchor>
  <xdr:twoCellAnchor>
    <xdr:from>
      <xdr:col>7</xdr:col>
      <xdr:colOff>468084</xdr:colOff>
      <xdr:row>5</xdr:row>
      <xdr:rowOff>46264</xdr:rowOff>
    </xdr:from>
    <xdr:to>
      <xdr:col>14</xdr:col>
      <xdr:colOff>95249</xdr:colOff>
      <xdr:row>7</xdr:row>
      <xdr:rowOff>46264</xdr:rowOff>
    </xdr:to>
    <xdr:sp macro="" textlink="">
      <xdr:nvSpPr>
        <xdr:cNvPr id="34" name="TextBox 33">
          <a:extLst>
            <a:ext uri="{FF2B5EF4-FFF2-40B4-BE49-F238E27FC236}">
              <a16:creationId xmlns:a16="http://schemas.microsoft.com/office/drawing/2014/main" id="{6FD8A7DB-ADE8-40DC-86A7-59F05F32A03E}"/>
            </a:ext>
          </a:extLst>
        </xdr:cNvPr>
        <xdr:cNvSpPr txBox="1"/>
      </xdr:nvSpPr>
      <xdr:spPr>
        <a:xfrm>
          <a:off x="4754334" y="998764"/>
          <a:ext cx="3913415"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Actividades</a:t>
          </a:r>
          <a:r>
            <a:rPr lang="es-ES" sz="1200" b="1" baseline="0">
              <a:latin typeface="Arial Narrow" panose="020B0606020202030204" pitchFamily="34" charset="0"/>
            </a:rPr>
            <a:t> post-consulta por instancia de atención </a:t>
          </a:r>
          <a:endParaRPr lang="es-ES" sz="1200" b="1">
            <a:latin typeface="Arial Narrow" panose="020B0606020202030204" pitchFamily="34" charset="0"/>
          </a:endParaRPr>
        </a:p>
      </xdr:txBody>
    </xdr:sp>
    <xdr:clientData/>
  </xdr:twoCellAnchor>
  <xdr:twoCellAnchor>
    <xdr:from>
      <xdr:col>8</xdr:col>
      <xdr:colOff>185057</xdr:colOff>
      <xdr:row>21</xdr:row>
      <xdr:rowOff>157844</xdr:rowOff>
    </xdr:from>
    <xdr:to>
      <xdr:col>12</xdr:col>
      <xdr:colOff>204108</xdr:colOff>
      <xdr:row>23</xdr:row>
      <xdr:rowOff>157844</xdr:rowOff>
    </xdr:to>
    <xdr:sp macro="" textlink="">
      <xdr:nvSpPr>
        <xdr:cNvPr id="35" name="TextBox 34">
          <a:extLst>
            <a:ext uri="{FF2B5EF4-FFF2-40B4-BE49-F238E27FC236}">
              <a16:creationId xmlns:a16="http://schemas.microsoft.com/office/drawing/2014/main" id="{42A773DF-9A1E-4737-B480-2FBD497825BF}"/>
            </a:ext>
          </a:extLst>
        </xdr:cNvPr>
        <xdr:cNvSpPr txBox="1"/>
      </xdr:nvSpPr>
      <xdr:spPr>
        <a:xfrm>
          <a:off x="5083628" y="4158344"/>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de Padecimientos</a:t>
          </a:r>
          <a:endParaRPr lang="es-ES" sz="1200" b="1">
            <a:latin typeface="Arial Narrow" panose="020B0606020202030204" pitchFamily="34" charset="0"/>
          </a:endParaRPr>
        </a:p>
      </xdr:txBody>
    </xdr:sp>
    <xdr:clientData/>
  </xdr:twoCellAnchor>
  <xdr:twoCellAnchor>
    <xdr:from>
      <xdr:col>13</xdr:col>
      <xdr:colOff>51706</xdr:colOff>
      <xdr:row>22</xdr:row>
      <xdr:rowOff>10886</xdr:rowOff>
    </xdr:from>
    <xdr:to>
      <xdr:col>17</xdr:col>
      <xdr:colOff>70758</xdr:colOff>
      <xdr:row>24</xdr:row>
      <xdr:rowOff>10886</xdr:rowOff>
    </xdr:to>
    <xdr:sp macro="" textlink="">
      <xdr:nvSpPr>
        <xdr:cNvPr id="36" name="TextBox 35">
          <a:extLst>
            <a:ext uri="{FF2B5EF4-FFF2-40B4-BE49-F238E27FC236}">
              <a16:creationId xmlns:a16="http://schemas.microsoft.com/office/drawing/2014/main" id="{37E6D76D-A75C-43D8-8958-9775EB9B57E8}"/>
            </a:ext>
          </a:extLst>
        </xdr:cNvPr>
        <xdr:cNvSpPr txBox="1"/>
      </xdr:nvSpPr>
      <xdr:spPr>
        <a:xfrm>
          <a:off x="8011885" y="4201886"/>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Diagnósticos Macro</a:t>
          </a:r>
          <a:endParaRPr lang="es-ES" sz="1200" b="1">
            <a:latin typeface="Arial Narrow" panose="020B0606020202030204" pitchFamily="34" charset="0"/>
          </a:endParaRPr>
        </a:p>
      </xdr:txBody>
    </xdr:sp>
    <xdr:clientData/>
  </xdr:twoCellAnchor>
  <xdr:twoCellAnchor>
    <xdr:from>
      <xdr:col>18</xdr:col>
      <xdr:colOff>81642</xdr:colOff>
      <xdr:row>22</xdr:row>
      <xdr:rowOff>1</xdr:rowOff>
    </xdr:from>
    <xdr:to>
      <xdr:col>22</xdr:col>
      <xdr:colOff>100694</xdr:colOff>
      <xdr:row>24</xdr:row>
      <xdr:rowOff>1</xdr:rowOff>
    </xdr:to>
    <xdr:sp macro="" textlink="">
      <xdr:nvSpPr>
        <xdr:cNvPr id="37" name="TextBox 36">
          <a:extLst>
            <a:ext uri="{FF2B5EF4-FFF2-40B4-BE49-F238E27FC236}">
              <a16:creationId xmlns:a16="http://schemas.microsoft.com/office/drawing/2014/main" id="{F81AD976-1986-410B-8DD0-740499696854}"/>
            </a:ext>
          </a:extLst>
        </xdr:cNvPr>
        <xdr:cNvSpPr txBox="1"/>
      </xdr:nvSpPr>
      <xdr:spPr>
        <a:xfrm>
          <a:off x="11103428" y="4191001"/>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Diagnósticos Micro</a:t>
          </a:r>
          <a:endParaRPr lang="es-ES" sz="1200" b="1">
            <a:latin typeface="Arial Narrow" panose="020B0606020202030204" pitchFamily="34" charset="0"/>
          </a:endParaRPr>
        </a:p>
      </xdr:txBody>
    </xdr:sp>
    <xdr:clientData/>
  </xdr:twoCellAnchor>
  <xdr:twoCellAnchor>
    <xdr:from>
      <xdr:col>15</xdr:col>
      <xdr:colOff>144235</xdr:colOff>
      <xdr:row>6</xdr:row>
      <xdr:rowOff>35379</xdr:rowOff>
    </xdr:from>
    <xdr:to>
      <xdr:col>21</xdr:col>
      <xdr:colOff>383721</xdr:colOff>
      <xdr:row>8</xdr:row>
      <xdr:rowOff>35379</xdr:rowOff>
    </xdr:to>
    <xdr:sp macro="" textlink="">
      <xdr:nvSpPr>
        <xdr:cNvPr id="38" name="TextBox 37">
          <a:extLst>
            <a:ext uri="{FF2B5EF4-FFF2-40B4-BE49-F238E27FC236}">
              <a16:creationId xmlns:a16="http://schemas.microsoft.com/office/drawing/2014/main" id="{3B6E363E-BAF6-4C8E-8957-31AD3E40F1F2}"/>
            </a:ext>
          </a:extLst>
        </xdr:cNvPr>
        <xdr:cNvSpPr txBox="1"/>
      </xdr:nvSpPr>
      <xdr:spPr>
        <a:xfrm>
          <a:off x="9329056" y="1178379"/>
          <a:ext cx="3913415"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por condición</a:t>
          </a:r>
          <a:endParaRPr lang="es-ES" sz="1200" b="1">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Gómez" refreshedDate="43615.010738310186" createdVersion="6" refreshedVersion="6" minRefreshableVersion="3" recordCount="634" xr:uid="{00000000-000A-0000-FFFF-FFFF0A000000}">
  <cacheSource type="worksheet">
    <worksheetSource name="Table1"/>
  </cacheSource>
  <cacheFields count="18">
    <cacheField name="Id" numFmtId="0">
      <sharedItems containsSemiMixedTypes="0" containsString="0" containsNumber="1" containsInteger="1" minValue="60000001" maxValue="60000634"/>
    </cacheField>
    <cacheField name="Edad" numFmtId="0">
      <sharedItems containsSemiMixedTypes="0" containsString="0" containsNumber="1" containsInteger="1" minValue="20" maxValue="65" count="46">
        <n v="24"/>
        <n v="43"/>
        <n v="38"/>
        <n v="40"/>
        <n v="61"/>
        <n v="27"/>
        <n v="58"/>
        <n v="33"/>
        <n v="34"/>
        <n v="49"/>
        <n v="31"/>
        <n v="29"/>
        <n v="21"/>
        <n v="35"/>
        <n v="42"/>
        <n v="64"/>
        <n v="22"/>
        <n v="59"/>
        <n v="55"/>
        <n v="50"/>
        <n v="47"/>
        <n v="57"/>
        <n v="28"/>
        <n v="26"/>
        <n v="48"/>
        <n v="39"/>
        <n v="23"/>
        <n v="54"/>
        <n v="37"/>
        <n v="65"/>
        <n v="45"/>
        <n v="60"/>
        <n v="56"/>
        <n v="52"/>
        <n v="44"/>
        <n v="20"/>
        <n v="63"/>
        <n v="51"/>
        <n v="30"/>
        <n v="32"/>
        <n v="62"/>
        <n v="41"/>
        <n v="53"/>
        <n v="36"/>
        <n v="46"/>
        <n v="25"/>
      </sharedItems>
      <fieldGroup base="1">
        <rangePr autoEnd="0" startNum="20" endNum="70" groupInterval="10"/>
        <groupItems count="7">
          <s v="&lt;20"/>
          <s v="20-29"/>
          <s v="30-39"/>
          <s v="40-49"/>
          <s v="50-59"/>
          <s v="60-70"/>
          <s v="&gt;70"/>
        </groupItems>
      </fieldGroup>
    </cacheField>
    <cacheField name="Tipo trabajador" numFmtId="0">
      <sharedItems count="2">
        <s v="Privado"/>
        <s v="Público"/>
      </sharedItems>
    </cacheField>
    <cacheField name="Sexo" numFmtId="0">
      <sharedItems count="2">
        <s v="Hombre"/>
        <s v="Mujer"/>
      </sharedItems>
    </cacheField>
    <cacheField name="Área " numFmtId="0">
      <sharedItems count="12">
        <s v="Comercial y Marketing"/>
        <s v="Administración"/>
        <s v="Contabilidad y finanzas"/>
        <s v="Logística"/>
        <s v="Gerencia"/>
        <s v="Asesoria "/>
        <s v="Otros"/>
        <s v="Recursos humanos"/>
        <s v="IT"/>
        <s v="Proveeduría"/>
        <s v="Producción"/>
        <s v="Ventas"/>
      </sharedItems>
    </cacheField>
    <cacheField name="Estado Cita" numFmtId="0">
      <sharedItems/>
    </cacheField>
    <cacheField name="% grasa" numFmtId="0">
      <sharedItems containsSemiMixedTypes="0" containsString="0" containsNumber="1" containsInteger="1" minValue="10" maxValue="38"/>
    </cacheField>
    <cacheField name="Condición" numFmtId="0">
      <sharedItems count="5">
        <s v="Normal"/>
        <s v="Obeso(a)"/>
        <s v="Delgado(a)"/>
        <s v="Corpulento(a)"/>
        <s v="Atletas"/>
      </sharedItems>
    </cacheField>
    <cacheField name="Padecimiento Crónico" numFmtId="0">
      <sharedItems count="17">
        <s v="MIGRAÑA"/>
        <s v="TIROIDES"/>
        <s v="HIPOTIROIDISMO"/>
        <s v="ESPASTICIDAD"/>
        <s v="DEPRESIÓN"/>
        <s v="BIPOLAR "/>
        <s v="GASTRITIS "/>
        <s v="NINGUNO"/>
        <s v="BIPOLAR"/>
        <s v="OSTEOPOROSIS"/>
        <s v="HIPERTENSIÓN "/>
        <s v="ARTRITIS REUMATOIDE"/>
        <s v="ASMA"/>
        <s v="DERMATITIS "/>
        <s v="RINITIS"/>
        <s v="LUMBALGIA"/>
        <s v="ASMA, RINITIS"/>
      </sharedItems>
    </cacheField>
    <cacheField name="Diagnóstico Macro" numFmtId="0">
      <sharedItems count="13">
        <s v="OFTALMO"/>
        <s v="CIRCULATORIO"/>
        <s v="IVRS"/>
        <s v="RESPIRATORIO"/>
        <s v="GINECOLOGICO"/>
        <s v="GENITOURINARIO"/>
        <s v="OSTEOMUSCULAR"/>
        <s v="CONSULTA GENERAL"/>
        <s v="DERMATOLOGICO"/>
        <s v="GASTROINTESTINAL"/>
        <s v="ORL"/>
        <s v="VASCULAR"/>
        <s v="NEUROLOGICO"/>
      </sharedItems>
    </cacheField>
    <cacheField name="Diagnóstico Micro" numFmtId="0">
      <sharedItems count="50">
        <s v="SD DE ABSTINENCIA"/>
        <s v="SOLICITUD  "/>
        <s v="LIUMBALGIA"/>
        <s v="REFLUJO GASTROESOFAGICO"/>
        <s v="TAPON DE CERUMEN"/>
        <s v="CEFALEA"/>
        <s v="FASCEITIS PLANTAR"/>
        <s v="SINUSITIS"/>
        <s v="HERPER LABIAL"/>
        <s v="SOLICITUD DE EQUIPO ERGONOMICO"/>
        <s v="MIGRAÑA"/>
        <s v="GONALGIA"/>
        <s v="CUADRO GRIPAL"/>
        <s v="HEMORROIDES"/>
        <s v="LUMBICIATICA"/>
        <s v="INFECCION CUTANEA"/>
        <s v="DISFONIA"/>
        <s v="NAUSEAS"/>
        <s v="BRONQUITIS"/>
        <s v="DERMATITIS"/>
        <s v="DOLOR POR PIEZA DENTAL"/>
        <s v="BLEFARITIS"/>
        <s v="CONTRACTURA MM"/>
        <s v="TOS"/>
        <s v="DISMENORREA"/>
        <s v="ABSCESO"/>
        <s v="INFECCION VAGINAL"/>
        <s v="CONJUNTIVITIS ALERGICA"/>
        <s v="FARINGITIS"/>
        <s v="PARESTESIAS"/>
        <s v="IRRITABILIDAD EN OJO"/>
        <s v="ALERGIA"/>
        <s v="RINITIS"/>
        <s v="REACCION ALERGICA"/>
        <s v="INDIGESTION"/>
        <s v="SOLICITUD DEL USO DEL ASENSOR"/>
        <s v="ANSIEDAD"/>
        <s v="FOLICULITIS"/>
        <s v="OMALGIA"/>
        <s v="TOMA DE GLICEMIA"/>
        <s v="PICADURA DE INSECTO"/>
        <s v="GASTROENTERITIS"/>
        <s v="VOMITOS"/>
        <s v="CRISIS DE ANSIEDAD"/>
        <s v="ONICOCRIPTOSIS"/>
        <s v="METRORRAGIA"/>
        <s v="TENDINITIS"/>
        <s v="ASMA"/>
        <s v="DEPRESION"/>
        <s v="GASTRITIS"/>
      </sharedItems>
    </cacheField>
    <cacheField name="Instancia de atención" numFmtId="0">
      <sharedItems count="3">
        <s v="CCSS"/>
        <s v="INS"/>
        <s v="Clínica Bíblica"/>
      </sharedItems>
    </cacheField>
    <cacheField name="Laboratorio" numFmtId="0">
      <sharedItems count="2">
        <s v="No"/>
        <s v="Si"/>
      </sharedItems>
    </cacheField>
    <cacheField name="Rayos &quot;X&quot;" numFmtId="0">
      <sharedItems count="2">
        <s v="No"/>
        <s v="Si"/>
      </sharedItems>
    </cacheField>
    <cacheField name="Consulta adicional" numFmtId="0">
      <sharedItems count="2">
        <s v="No"/>
        <s v="Si"/>
      </sharedItems>
    </cacheField>
    <cacheField name="Incapacidad" numFmtId="0">
      <sharedItems/>
    </cacheField>
    <cacheField name="Días" numFmtId="0">
      <sharedItems containsSemiMixedTypes="0" containsString="0" containsNumber="1" containsInteger="1" minValue="0" maxValue="7"/>
    </cacheField>
    <cacheField name="Monto de la consulta" numFmtId="0">
      <sharedItems containsSemiMixedTypes="0" containsString="0" containsNumber="1" containsInteger="1" minValue="23033" maxValue="84890"/>
    </cacheField>
  </cacheFields>
  <extLst>
    <ext xmlns:x14="http://schemas.microsoft.com/office/spreadsheetml/2009/9/main" uri="{725AE2AE-9491-48be-B2B4-4EB974FC3084}">
      <x14:pivotCacheDefinition pivotCacheId="938764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n v="60000001"/>
    <x v="0"/>
    <x v="0"/>
    <x v="0"/>
    <x v="0"/>
    <s v="Asistio "/>
    <n v="20"/>
    <x v="0"/>
    <x v="0"/>
    <x v="0"/>
    <x v="0"/>
    <x v="0"/>
    <x v="0"/>
    <x v="0"/>
    <x v="0"/>
    <s v="No"/>
    <n v="0"/>
    <n v="32249"/>
  </r>
  <r>
    <n v="60000002"/>
    <x v="1"/>
    <x v="1"/>
    <x v="1"/>
    <x v="1"/>
    <s v="Asistio "/>
    <n v="32"/>
    <x v="1"/>
    <x v="1"/>
    <x v="1"/>
    <x v="1"/>
    <x v="0"/>
    <x v="0"/>
    <x v="0"/>
    <x v="0"/>
    <s v="No"/>
    <n v="0"/>
    <n v="50190"/>
  </r>
  <r>
    <n v="60000003"/>
    <x v="2"/>
    <x v="0"/>
    <x v="0"/>
    <x v="2"/>
    <s v="Asistio "/>
    <n v="20"/>
    <x v="0"/>
    <x v="1"/>
    <x v="2"/>
    <x v="2"/>
    <x v="0"/>
    <x v="0"/>
    <x v="0"/>
    <x v="0"/>
    <s v="Si"/>
    <n v="3"/>
    <n v="53861"/>
  </r>
  <r>
    <n v="60000004"/>
    <x v="3"/>
    <x v="0"/>
    <x v="0"/>
    <x v="3"/>
    <s v="Asistio "/>
    <n v="23"/>
    <x v="0"/>
    <x v="2"/>
    <x v="3"/>
    <x v="3"/>
    <x v="0"/>
    <x v="0"/>
    <x v="0"/>
    <x v="0"/>
    <s v="No"/>
    <n v="0"/>
    <n v="63985"/>
  </r>
  <r>
    <n v="60000005"/>
    <x v="4"/>
    <x v="0"/>
    <x v="1"/>
    <x v="1"/>
    <s v="Asistio "/>
    <n v="36"/>
    <x v="1"/>
    <x v="3"/>
    <x v="4"/>
    <x v="4"/>
    <x v="0"/>
    <x v="0"/>
    <x v="0"/>
    <x v="0"/>
    <s v="Si"/>
    <n v="2"/>
    <n v="71975"/>
  </r>
  <r>
    <n v="60000006"/>
    <x v="5"/>
    <x v="0"/>
    <x v="0"/>
    <x v="1"/>
    <s v="Asistio "/>
    <n v="38"/>
    <x v="1"/>
    <x v="4"/>
    <x v="5"/>
    <x v="5"/>
    <x v="0"/>
    <x v="0"/>
    <x v="0"/>
    <x v="0"/>
    <s v="No"/>
    <n v="0"/>
    <n v="38682"/>
  </r>
  <r>
    <n v="60000007"/>
    <x v="5"/>
    <x v="0"/>
    <x v="1"/>
    <x v="4"/>
    <s v="Asistio "/>
    <n v="13"/>
    <x v="2"/>
    <x v="5"/>
    <x v="4"/>
    <x v="6"/>
    <x v="0"/>
    <x v="0"/>
    <x v="0"/>
    <x v="0"/>
    <s v="No"/>
    <n v="0"/>
    <n v="69924"/>
  </r>
  <r>
    <n v="60000008"/>
    <x v="6"/>
    <x v="0"/>
    <x v="1"/>
    <x v="4"/>
    <s v="Asistio "/>
    <n v="18"/>
    <x v="2"/>
    <x v="6"/>
    <x v="3"/>
    <x v="0"/>
    <x v="0"/>
    <x v="0"/>
    <x v="0"/>
    <x v="0"/>
    <s v="Si"/>
    <n v="3"/>
    <n v="41810"/>
  </r>
  <r>
    <n v="60000009"/>
    <x v="7"/>
    <x v="0"/>
    <x v="1"/>
    <x v="5"/>
    <s v="Asistio "/>
    <n v="38"/>
    <x v="1"/>
    <x v="7"/>
    <x v="0"/>
    <x v="7"/>
    <x v="0"/>
    <x v="0"/>
    <x v="0"/>
    <x v="0"/>
    <s v="Si"/>
    <n v="7"/>
    <n v="56001"/>
  </r>
  <r>
    <n v="60000010"/>
    <x v="8"/>
    <x v="0"/>
    <x v="1"/>
    <x v="4"/>
    <s v="Asistio "/>
    <n v="21"/>
    <x v="0"/>
    <x v="8"/>
    <x v="6"/>
    <x v="8"/>
    <x v="0"/>
    <x v="0"/>
    <x v="0"/>
    <x v="0"/>
    <s v="No"/>
    <n v="0"/>
    <n v="41600"/>
  </r>
  <r>
    <n v="60000011"/>
    <x v="9"/>
    <x v="0"/>
    <x v="1"/>
    <x v="0"/>
    <s v="Asistio "/>
    <n v="18"/>
    <x v="2"/>
    <x v="9"/>
    <x v="7"/>
    <x v="9"/>
    <x v="0"/>
    <x v="0"/>
    <x v="0"/>
    <x v="0"/>
    <s v="No"/>
    <n v="0"/>
    <n v="62931"/>
  </r>
  <r>
    <n v="60000012"/>
    <x v="10"/>
    <x v="0"/>
    <x v="0"/>
    <x v="6"/>
    <s v="Asistio "/>
    <n v="16"/>
    <x v="2"/>
    <x v="5"/>
    <x v="8"/>
    <x v="10"/>
    <x v="0"/>
    <x v="0"/>
    <x v="0"/>
    <x v="0"/>
    <s v="No"/>
    <n v="0"/>
    <n v="67313"/>
  </r>
  <r>
    <n v="60000013"/>
    <x v="11"/>
    <x v="0"/>
    <x v="1"/>
    <x v="7"/>
    <s v="Asistio "/>
    <n v="32"/>
    <x v="1"/>
    <x v="5"/>
    <x v="4"/>
    <x v="11"/>
    <x v="0"/>
    <x v="0"/>
    <x v="0"/>
    <x v="0"/>
    <s v="Si"/>
    <n v="6"/>
    <n v="53872"/>
  </r>
  <r>
    <n v="60000014"/>
    <x v="12"/>
    <x v="0"/>
    <x v="1"/>
    <x v="3"/>
    <s v="Asistio "/>
    <n v="18"/>
    <x v="2"/>
    <x v="7"/>
    <x v="1"/>
    <x v="0"/>
    <x v="0"/>
    <x v="0"/>
    <x v="0"/>
    <x v="0"/>
    <s v="No"/>
    <n v="0"/>
    <n v="79273"/>
  </r>
  <r>
    <n v="60000015"/>
    <x v="13"/>
    <x v="1"/>
    <x v="0"/>
    <x v="6"/>
    <s v="Asistio "/>
    <n v="34"/>
    <x v="1"/>
    <x v="2"/>
    <x v="7"/>
    <x v="12"/>
    <x v="0"/>
    <x v="0"/>
    <x v="0"/>
    <x v="0"/>
    <s v="Si"/>
    <n v="1"/>
    <n v="38824"/>
  </r>
  <r>
    <n v="60000016"/>
    <x v="14"/>
    <x v="0"/>
    <x v="1"/>
    <x v="2"/>
    <s v="Asistio "/>
    <n v="31"/>
    <x v="3"/>
    <x v="4"/>
    <x v="1"/>
    <x v="7"/>
    <x v="0"/>
    <x v="0"/>
    <x v="0"/>
    <x v="0"/>
    <s v="No"/>
    <n v="0"/>
    <n v="69303"/>
  </r>
  <r>
    <n v="60000017"/>
    <x v="15"/>
    <x v="1"/>
    <x v="0"/>
    <x v="4"/>
    <s v="Asistio "/>
    <n v="36"/>
    <x v="1"/>
    <x v="2"/>
    <x v="0"/>
    <x v="3"/>
    <x v="0"/>
    <x v="0"/>
    <x v="0"/>
    <x v="0"/>
    <s v="No"/>
    <n v="0"/>
    <n v="43397"/>
  </r>
  <r>
    <n v="60000018"/>
    <x v="16"/>
    <x v="0"/>
    <x v="0"/>
    <x v="0"/>
    <s v="Asistio "/>
    <n v="12"/>
    <x v="2"/>
    <x v="9"/>
    <x v="7"/>
    <x v="13"/>
    <x v="0"/>
    <x v="0"/>
    <x v="0"/>
    <x v="0"/>
    <s v="No"/>
    <n v="0"/>
    <n v="46382"/>
  </r>
  <r>
    <n v="60000019"/>
    <x v="8"/>
    <x v="1"/>
    <x v="0"/>
    <x v="2"/>
    <s v="Asistio "/>
    <n v="32"/>
    <x v="1"/>
    <x v="2"/>
    <x v="9"/>
    <x v="14"/>
    <x v="0"/>
    <x v="0"/>
    <x v="0"/>
    <x v="0"/>
    <s v="No"/>
    <n v="0"/>
    <n v="53991"/>
  </r>
  <r>
    <n v="60000020"/>
    <x v="17"/>
    <x v="0"/>
    <x v="1"/>
    <x v="8"/>
    <s v="Asistio "/>
    <n v="27"/>
    <x v="3"/>
    <x v="9"/>
    <x v="7"/>
    <x v="15"/>
    <x v="0"/>
    <x v="0"/>
    <x v="0"/>
    <x v="0"/>
    <s v="Si"/>
    <n v="6"/>
    <n v="63210"/>
  </r>
  <r>
    <n v="60000021"/>
    <x v="18"/>
    <x v="0"/>
    <x v="1"/>
    <x v="0"/>
    <s v="Asistio "/>
    <n v="27"/>
    <x v="3"/>
    <x v="10"/>
    <x v="7"/>
    <x v="6"/>
    <x v="0"/>
    <x v="0"/>
    <x v="0"/>
    <x v="0"/>
    <s v="Si"/>
    <n v="4"/>
    <n v="72718"/>
  </r>
  <r>
    <n v="60000022"/>
    <x v="19"/>
    <x v="0"/>
    <x v="1"/>
    <x v="4"/>
    <s v="Asistio "/>
    <n v="38"/>
    <x v="1"/>
    <x v="6"/>
    <x v="10"/>
    <x v="13"/>
    <x v="0"/>
    <x v="0"/>
    <x v="0"/>
    <x v="0"/>
    <s v="Si"/>
    <n v="3"/>
    <n v="74859"/>
  </r>
  <r>
    <n v="60000023"/>
    <x v="18"/>
    <x v="0"/>
    <x v="0"/>
    <x v="6"/>
    <s v="Asistio "/>
    <n v="32"/>
    <x v="1"/>
    <x v="5"/>
    <x v="8"/>
    <x v="16"/>
    <x v="0"/>
    <x v="0"/>
    <x v="0"/>
    <x v="0"/>
    <s v="No"/>
    <n v="0"/>
    <n v="76036"/>
  </r>
  <r>
    <n v="60000024"/>
    <x v="20"/>
    <x v="1"/>
    <x v="1"/>
    <x v="1"/>
    <s v="Asistio "/>
    <n v="17"/>
    <x v="2"/>
    <x v="7"/>
    <x v="6"/>
    <x v="17"/>
    <x v="0"/>
    <x v="0"/>
    <x v="0"/>
    <x v="0"/>
    <s v="No"/>
    <n v="0"/>
    <n v="54782"/>
  </r>
  <r>
    <n v="60000025"/>
    <x v="0"/>
    <x v="0"/>
    <x v="1"/>
    <x v="0"/>
    <s v="Asistio "/>
    <n v="25"/>
    <x v="3"/>
    <x v="1"/>
    <x v="9"/>
    <x v="8"/>
    <x v="0"/>
    <x v="0"/>
    <x v="0"/>
    <x v="0"/>
    <s v="No"/>
    <n v="0"/>
    <n v="76364"/>
  </r>
  <r>
    <n v="60000026"/>
    <x v="20"/>
    <x v="0"/>
    <x v="0"/>
    <x v="1"/>
    <s v="Asistio "/>
    <n v="24"/>
    <x v="0"/>
    <x v="6"/>
    <x v="5"/>
    <x v="5"/>
    <x v="0"/>
    <x v="0"/>
    <x v="0"/>
    <x v="0"/>
    <s v="Si"/>
    <n v="1"/>
    <n v="78267"/>
  </r>
  <r>
    <n v="60000027"/>
    <x v="20"/>
    <x v="1"/>
    <x v="1"/>
    <x v="4"/>
    <s v="Asistio "/>
    <n v="29"/>
    <x v="3"/>
    <x v="6"/>
    <x v="9"/>
    <x v="18"/>
    <x v="0"/>
    <x v="0"/>
    <x v="0"/>
    <x v="0"/>
    <s v="Si"/>
    <n v="7"/>
    <n v="48724"/>
  </r>
  <r>
    <n v="60000028"/>
    <x v="21"/>
    <x v="1"/>
    <x v="1"/>
    <x v="7"/>
    <s v="Asistio "/>
    <n v="10"/>
    <x v="4"/>
    <x v="10"/>
    <x v="11"/>
    <x v="19"/>
    <x v="0"/>
    <x v="0"/>
    <x v="0"/>
    <x v="0"/>
    <s v="Si"/>
    <n v="6"/>
    <n v="80630"/>
  </r>
  <r>
    <n v="60000029"/>
    <x v="22"/>
    <x v="0"/>
    <x v="0"/>
    <x v="6"/>
    <s v="Asistio "/>
    <n v="37"/>
    <x v="1"/>
    <x v="5"/>
    <x v="11"/>
    <x v="16"/>
    <x v="0"/>
    <x v="0"/>
    <x v="0"/>
    <x v="0"/>
    <s v="Si"/>
    <n v="4"/>
    <n v="57422"/>
  </r>
  <r>
    <n v="60000030"/>
    <x v="18"/>
    <x v="0"/>
    <x v="1"/>
    <x v="3"/>
    <s v="Asistio "/>
    <n v="18"/>
    <x v="2"/>
    <x v="2"/>
    <x v="0"/>
    <x v="8"/>
    <x v="0"/>
    <x v="0"/>
    <x v="0"/>
    <x v="0"/>
    <s v="Si"/>
    <n v="5"/>
    <n v="82448"/>
  </r>
  <r>
    <n v="60000031"/>
    <x v="23"/>
    <x v="0"/>
    <x v="0"/>
    <x v="2"/>
    <s v="Asistio "/>
    <n v="34"/>
    <x v="1"/>
    <x v="11"/>
    <x v="1"/>
    <x v="20"/>
    <x v="0"/>
    <x v="0"/>
    <x v="0"/>
    <x v="0"/>
    <s v="No"/>
    <n v="0"/>
    <n v="48511"/>
  </r>
  <r>
    <n v="60000032"/>
    <x v="20"/>
    <x v="1"/>
    <x v="0"/>
    <x v="7"/>
    <s v="Asistio "/>
    <n v="22"/>
    <x v="0"/>
    <x v="2"/>
    <x v="9"/>
    <x v="21"/>
    <x v="0"/>
    <x v="0"/>
    <x v="0"/>
    <x v="0"/>
    <s v="No"/>
    <n v="0"/>
    <n v="60906"/>
  </r>
  <r>
    <n v="60000033"/>
    <x v="24"/>
    <x v="1"/>
    <x v="0"/>
    <x v="5"/>
    <s v="Asistio "/>
    <n v="31"/>
    <x v="3"/>
    <x v="9"/>
    <x v="8"/>
    <x v="18"/>
    <x v="0"/>
    <x v="0"/>
    <x v="0"/>
    <x v="0"/>
    <s v="Si"/>
    <n v="0"/>
    <n v="60696"/>
  </r>
  <r>
    <n v="60000034"/>
    <x v="25"/>
    <x v="1"/>
    <x v="1"/>
    <x v="0"/>
    <s v="Asistio "/>
    <n v="20"/>
    <x v="0"/>
    <x v="8"/>
    <x v="1"/>
    <x v="20"/>
    <x v="0"/>
    <x v="0"/>
    <x v="0"/>
    <x v="0"/>
    <s v="No"/>
    <n v="0"/>
    <n v="68931"/>
  </r>
  <r>
    <n v="60000035"/>
    <x v="5"/>
    <x v="1"/>
    <x v="0"/>
    <x v="0"/>
    <s v="Asistio "/>
    <n v="25"/>
    <x v="3"/>
    <x v="5"/>
    <x v="11"/>
    <x v="22"/>
    <x v="0"/>
    <x v="0"/>
    <x v="0"/>
    <x v="0"/>
    <s v="No"/>
    <n v="0"/>
    <n v="72486"/>
  </r>
  <r>
    <n v="60000036"/>
    <x v="19"/>
    <x v="0"/>
    <x v="1"/>
    <x v="5"/>
    <s v="Asistio "/>
    <n v="34"/>
    <x v="1"/>
    <x v="0"/>
    <x v="12"/>
    <x v="19"/>
    <x v="0"/>
    <x v="0"/>
    <x v="0"/>
    <x v="0"/>
    <s v="Si"/>
    <n v="0"/>
    <n v="25064"/>
  </r>
  <r>
    <n v="60000037"/>
    <x v="1"/>
    <x v="0"/>
    <x v="1"/>
    <x v="2"/>
    <s v="Asistio "/>
    <n v="27"/>
    <x v="3"/>
    <x v="12"/>
    <x v="0"/>
    <x v="23"/>
    <x v="0"/>
    <x v="0"/>
    <x v="0"/>
    <x v="0"/>
    <s v="No"/>
    <n v="0"/>
    <n v="66485"/>
  </r>
  <r>
    <n v="60000038"/>
    <x v="23"/>
    <x v="1"/>
    <x v="1"/>
    <x v="4"/>
    <s v="Asistio "/>
    <n v="17"/>
    <x v="2"/>
    <x v="7"/>
    <x v="9"/>
    <x v="24"/>
    <x v="0"/>
    <x v="0"/>
    <x v="0"/>
    <x v="0"/>
    <s v="No"/>
    <n v="0"/>
    <n v="32920"/>
  </r>
  <r>
    <n v="60000039"/>
    <x v="26"/>
    <x v="0"/>
    <x v="0"/>
    <x v="9"/>
    <s v="Asistio "/>
    <n v="10"/>
    <x v="4"/>
    <x v="4"/>
    <x v="8"/>
    <x v="5"/>
    <x v="0"/>
    <x v="0"/>
    <x v="0"/>
    <x v="0"/>
    <s v="No"/>
    <n v="0"/>
    <n v="60181"/>
  </r>
  <r>
    <n v="60000040"/>
    <x v="20"/>
    <x v="1"/>
    <x v="0"/>
    <x v="8"/>
    <s v="Asistio "/>
    <n v="28"/>
    <x v="3"/>
    <x v="9"/>
    <x v="12"/>
    <x v="19"/>
    <x v="0"/>
    <x v="0"/>
    <x v="0"/>
    <x v="0"/>
    <s v="Si"/>
    <n v="7"/>
    <n v="64200"/>
  </r>
  <r>
    <n v="60000041"/>
    <x v="27"/>
    <x v="1"/>
    <x v="0"/>
    <x v="10"/>
    <s v="Asistio "/>
    <n v="32"/>
    <x v="1"/>
    <x v="1"/>
    <x v="3"/>
    <x v="24"/>
    <x v="0"/>
    <x v="0"/>
    <x v="0"/>
    <x v="0"/>
    <s v="No"/>
    <n v="0"/>
    <n v="27376"/>
  </r>
  <r>
    <n v="60000042"/>
    <x v="20"/>
    <x v="0"/>
    <x v="1"/>
    <x v="10"/>
    <s v="Asistio "/>
    <n v="36"/>
    <x v="1"/>
    <x v="5"/>
    <x v="1"/>
    <x v="18"/>
    <x v="0"/>
    <x v="0"/>
    <x v="0"/>
    <x v="0"/>
    <s v="Si"/>
    <n v="6"/>
    <n v="73100"/>
  </r>
  <r>
    <n v="60000043"/>
    <x v="28"/>
    <x v="1"/>
    <x v="1"/>
    <x v="5"/>
    <s v="Asistio "/>
    <n v="33"/>
    <x v="1"/>
    <x v="2"/>
    <x v="8"/>
    <x v="23"/>
    <x v="0"/>
    <x v="0"/>
    <x v="0"/>
    <x v="0"/>
    <s v="No"/>
    <n v="0"/>
    <n v="51512"/>
  </r>
  <r>
    <n v="60000044"/>
    <x v="29"/>
    <x v="1"/>
    <x v="1"/>
    <x v="7"/>
    <s v="Asistio "/>
    <n v="24"/>
    <x v="0"/>
    <x v="13"/>
    <x v="4"/>
    <x v="3"/>
    <x v="0"/>
    <x v="0"/>
    <x v="0"/>
    <x v="0"/>
    <s v="Si"/>
    <n v="4"/>
    <n v="32853"/>
  </r>
  <r>
    <n v="60000045"/>
    <x v="14"/>
    <x v="1"/>
    <x v="0"/>
    <x v="3"/>
    <s v="Asistio "/>
    <n v="34"/>
    <x v="1"/>
    <x v="11"/>
    <x v="12"/>
    <x v="13"/>
    <x v="0"/>
    <x v="0"/>
    <x v="0"/>
    <x v="0"/>
    <s v="No"/>
    <n v="0"/>
    <n v="33519"/>
  </r>
  <r>
    <n v="60000046"/>
    <x v="11"/>
    <x v="1"/>
    <x v="1"/>
    <x v="4"/>
    <s v="Asistio "/>
    <n v="23"/>
    <x v="0"/>
    <x v="10"/>
    <x v="1"/>
    <x v="6"/>
    <x v="0"/>
    <x v="0"/>
    <x v="0"/>
    <x v="0"/>
    <s v="No"/>
    <n v="0"/>
    <n v="47392"/>
  </r>
  <r>
    <n v="60000047"/>
    <x v="12"/>
    <x v="0"/>
    <x v="0"/>
    <x v="5"/>
    <s v="Asistio "/>
    <n v="16"/>
    <x v="2"/>
    <x v="0"/>
    <x v="4"/>
    <x v="25"/>
    <x v="0"/>
    <x v="0"/>
    <x v="0"/>
    <x v="0"/>
    <s v="Si"/>
    <n v="7"/>
    <n v="81471"/>
  </r>
  <r>
    <n v="60000048"/>
    <x v="29"/>
    <x v="0"/>
    <x v="0"/>
    <x v="3"/>
    <s v="Asistio "/>
    <n v="36"/>
    <x v="1"/>
    <x v="6"/>
    <x v="0"/>
    <x v="13"/>
    <x v="0"/>
    <x v="0"/>
    <x v="0"/>
    <x v="0"/>
    <s v="Si"/>
    <n v="4"/>
    <n v="46613"/>
  </r>
  <r>
    <n v="60000049"/>
    <x v="20"/>
    <x v="1"/>
    <x v="1"/>
    <x v="6"/>
    <s v="Asistio "/>
    <n v="12"/>
    <x v="2"/>
    <x v="8"/>
    <x v="3"/>
    <x v="26"/>
    <x v="0"/>
    <x v="0"/>
    <x v="0"/>
    <x v="0"/>
    <s v="Si"/>
    <n v="0"/>
    <n v="75842"/>
  </r>
  <r>
    <n v="60000050"/>
    <x v="20"/>
    <x v="0"/>
    <x v="1"/>
    <x v="6"/>
    <s v="Asistio "/>
    <n v="18"/>
    <x v="2"/>
    <x v="6"/>
    <x v="6"/>
    <x v="27"/>
    <x v="0"/>
    <x v="0"/>
    <x v="0"/>
    <x v="0"/>
    <s v="No"/>
    <n v="0"/>
    <n v="77615"/>
  </r>
  <r>
    <n v="60000051"/>
    <x v="24"/>
    <x v="1"/>
    <x v="0"/>
    <x v="4"/>
    <s v="Asistio "/>
    <n v="31"/>
    <x v="3"/>
    <x v="9"/>
    <x v="2"/>
    <x v="10"/>
    <x v="0"/>
    <x v="0"/>
    <x v="0"/>
    <x v="0"/>
    <s v="No"/>
    <n v="0"/>
    <n v="46121"/>
  </r>
  <r>
    <n v="60000052"/>
    <x v="0"/>
    <x v="0"/>
    <x v="0"/>
    <x v="2"/>
    <s v="Asistio "/>
    <n v="25"/>
    <x v="3"/>
    <x v="9"/>
    <x v="11"/>
    <x v="28"/>
    <x v="0"/>
    <x v="0"/>
    <x v="0"/>
    <x v="0"/>
    <s v="Si"/>
    <n v="6"/>
    <n v="39270"/>
  </r>
  <r>
    <n v="60000053"/>
    <x v="4"/>
    <x v="0"/>
    <x v="0"/>
    <x v="9"/>
    <s v="Asistio "/>
    <n v="10"/>
    <x v="4"/>
    <x v="6"/>
    <x v="10"/>
    <x v="29"/>
    <x v="0"/>
    <x v="0"/>
    <x v="0"/>
    <x v="0"/>
    <s v="Si"/>
    <n v="5"/>
    <n v="77754"/>
  </r>
  <r>
    <n v="60000054"/>
    <x v="30"/>
    <x v="0"/>
    <x v="0"/>
    <x v="10"/>
    <s v="Asistio "/>
    <n v="15"/>
    <x v="2"/>
    <x v="9"/>
    <x v="5"/>
    <x v="10"/>
    <x v="0"/>
    <x v="0"/>
    <x v="0"/>
    <x v="0"/>
    <s v="Si"/>
    <n v="3"/>
    <n v="55314"/>
  </r>
  <r>
    <n v="60000055"/>
    <x v="31"/>
    <x v="0"/>
    <x v="1"/>
    <x v="10"/>
    <s v="Asistio "/>
    <n v="28"/>
    <x v="3"/>
    <x v="12"/>
    <x v="9"/>
    <x v="30"/>
    <x v="0"/>
    <x v="0"/>
    <x v="0"/>
    <x v="0"/>
    <s v="Si"/>
    <n v="5"/>
    <n v="44686"/>
  </r>
  <r>
    <n v="60000056"/>
    <x v="5"/>
    <x v="1"/>
    <x v="0"/>
    <x v="3"/>
    <s v="Asistio "/>
    <n v="16"/>
    <x v="2"/>
    <x v="9"/>
    <x v="4"/>
    <x v="19"/>
    <x v="0"/>
    <x v="0"/>
    <x v="0"/>
    <x v="0"/>
    <s v="No"/>
    <n v="0"/>
    <n v="79381"/>
  </r>
  <r>
    <n v="60000057"/>
    <x v="11"/>
    <x v="0"/>
    <x v="0"/>
    <x v="4"/>
    <s v="Asistio "/>
    <n v="25"/>
    <x v="3"/>
    <x v="13"/>
    <x v="6"/>
    <x v="31"/>
    <x v="0"/>
    <x v="0"/>
    <x v="0"/>
    <x v="0"/>
    <s v="Si"/>
    <n v="4"/>
    <n v="55151"/>
  </r>
  <r>
    <n v="60000058"/>
    <x v="17"/>
    <x v="0"/>
    <x v="1"/>
    <x v="3"/>
    <s v="Asistio "/>
    <n v="27"/>
    <x v="3"/>
    <x v="12"/>
    <x v="8"/>
    <x v="20"/>
    <x v="0"/>
    <x v="0"/>
    <x v="0"/>
    <x v="0"/>
    <s v="Si"/>
    <n v="1"/>
    <n v="65029"/>
  </r>
  <r>
    <n v="60000059"/>
    <x v="32"/>
    <x v="1"/>
    <x v="0"/>
    <x v="4"/>
    <s v="Asistio "/>
    <n v="20"/>
    <x v="0"/>
    <x v="1"/>
    <x v="7"/>
    <x v="29"/>
    <x v="0"/>
    <x v="0"/>
    <x v="0"/>
    <x v="0"/>
    <s v="Si"/>
    <n v="5"/>
    <n v="26628"/>
  </r>
  <r>
    <n v="60000060"/>
    <x v="14"/>
    <x v="0"/>
    <x v="0"/>
    <x v="9"/>
    <s v="Asistio "/>
    <n v="19"/>
    <x v="0"/>
    <x v="14"/>
    <x v="10"/>
    <x v="15"/>
    <x v="0"/>
    <x v="0"/>
    <x v="0"/>
    <x v="0"/>
    <s v="No"/>
    <n v="0"/>
    <n v="49132"/>
  </r>
  <r>
    <n v="60000061"/>
    <x v="33"/>
    <x v="1"/>
    <x v="0"/>
    <x v="2"/>
    <s v="Asistio "/>
    <n v="31"/>
    <x v="3"/>
    <x v="15"/>
    <x v="0"/>
    <x v="16"/>
    <x v="0"/>
    <x v="0"/>
    <x v="0"/>
    <x v="0"/>
    <s v="Si"/>
    <n v="2"/>
    <n v="75641"/>
  </r>
  <r>
    <n v="60000062"/>
    <x v="34"/>
    <x v="1"/>
    <x v="1"/>
    <x v="9"/>
    <s v="Asistio "/>
    <n v="18"/>
    <x v="2"/>
    <x v="9"/>
    <x v="9"/>
    <x v="30"/>
    <x v="0"/>
    <x v="0"/>
    <x v="0"/>
    <x v="0"/>
    <s v="No"/>
    <n v="0"/>
    <n v="46107"/>
  </r>
  <r>
    <n v="60000063"/>
    <x v="28"/>
    <x v="1"/>
    <x v="1"/>
    <x v="6"/>
    <s v="Asistio "/>
    <n v="29"/>
    <x v="3"/>
    <x v="14"/>
    <x v="1"/>
    <x v="21"/>
    <x v="0"/>
    <x v="0"/>
    <x v="0"/>
    <x v="0"/>
    <s v="Si"/>
    <n v="5"/>
    <n v="54603"/>
  </r>
  <r>
    <n v="60000064"/>
    <x v="35"/>
    <x v="1"/>
    <x v="1"/>
    <x v="3"/>
    <s v="Asistio "/>
    <n v="12"/>
    <x v="2"/>
    <x v="10"/>
    <x v="10"/>
    <x v="13"/>
    <x v="0"/>
    <x v="0"/>
    <x v="0"/>
    <x v="0"/>
    <s v="Si"/>
    <n v="2"/>
    <n v="76546"/>
  </r>
  <r>
    <n v="60000065"/>
    <x v="35"/>
    <x v="0"/>
    <x v="0"/>
    <x v="9"/>
    <s v="Asistio "/>
    <n v="14"/>
    <x v="2"/>
    <x v="0"/>
    <x v="3"/>
    <x v="32"/>
    <x v="0"/>
    <x v="0"/>
    <x v="0"/>
    <x v="0"/>
    <s v="Si"/>
    <n v="4"/>
    <n v="51693"/>
  </r>
  <r>
    <n v="60000066"/>
    <x v="1"/>
    <x v="0"/>
    <x v="0"/>
    <x v="2"/>
    <s v="Asistio "/>
    <n v="21"/>
    <x v="0"/>
    <x v="12"/>
    <x v="7"/>
    <x v="5"/>
    <x v="0"/>
    <x v="0"/>
    <x v="0"/>
    <x v="0"/>
    <s v="Si"/>
    <n v="2"/>
    <n v="74562"/>
  </r>
  <r>
    <n v="60000067"/>
    <x v="24"/>
    <x v="1"/>
    <x v="0"/>
    <x v="9"/>
    <s v="Asistio "/>
    <n v="15"/>
    <x v="2"/>
    <x v="3"/>
    <x v="2"/>
    <x v="17"/>
    <x v="0"/>
    <x v="0"/>
    <x v="0"/>
    <x v="0"/>
    <s v="No"/>
    <n v="0"/>
    <n v="23033"/>
  </r>
  <r>
    <n v="60000068"/>
    <x v="21"/>
    <x v="1"/>
    <x v="1"/>
    <x v="4"/>
    <s v="Asistio "/>
    <n v="32"/>
    <x v="1"/>
    <x v="14"/>
    <x v="1"/>
    <x v="8"/>
    <x v="0"/>
    <x v="0"/>
    <x v="0"/>
    <x v="0"/>
    <s v="Si"/>
    <n v="7"/>
    <n v="49487"/>
  </r>
  <r>
    <n v="60000069"/>
    <x v="35"/>
    <x v="0"/>
    <x v="1"/>
    <x v="0"/>
    <s v="Asistio "/>
    <n v="13"/>
    <x v="2"/>
    <x v="1"/>
    <x v="5"/>
    <x v="9"/>
    <x v="0"/>
    <x v="0"/>
    <x v="0"/>
    <x v="0"/>
    <s v="Si"/>
    <n v="6"/>
    <n v="81554"/>
  </r>
  <r>
    <n v="60000070"/>
    <x v="36"/>
    <x v="1"/>
    <x v="1"/>
    <x v="0"/>
    <s v="Asistio "/>
    <n v="23"/>
    <x v="0"/>
    <x v="11"/>
    <x v="12"/>
    <x v="33"/>
    <x v="0"/>
    <x v="0"/>
    <x v="0"/>
    <x v="0"/>
    <s v="No"/>
    <n v="0"/>
    <n v="50937"/>
  </r>
  <r>
    <n v="60000071"/>
    <x v="27"/>
    <x v="0"/>
    <x v="0"/>
    <x v="1"/>
    <s v="Asistio "/>
    <n v="38"/>
    <x v="1"/>
    <x v="2"/>
    <x v="3"/>
    <x v="18"/>
    <x v="0"/>
    <x v="0"/>
    <x v="0"/>
    <x v="0"/>
    <s v="No"/>
    <n v="0"/>
    <n v="50926"/>
  </r>
  <r>
    <n v="60000072"/>
    <x v="8"/>
    <x v="0"/>
    <x v="0"/>
    <x v="9"/>
    <s v="Asistio "/>
    <n v="20"/>
    <x v="0"/>
    <x v="16"/>
    <x v="2"/>
    <x v="30"/>
    <x v="0"/>
    <x v="0"/>
    <x v="0"/>
    <x v="0"/>
    <s v="No"/>
    <n v="0"/>
    <n v="65453"/>
  </r>
  <r>
    <n v="60000073"/>
    <x v="23"/>
    <x v="1"/>
    <x v="1"/>
    <x v="6"/>
    <s v="Asistio "/>
    <n v="15"/>
    <x v="2"/>
    <x v="11"/>
    <x v="2"/>
    <x v="28"/>
    <x v="0"/>
    <x v="0"/>
    <x v="0"/>
    <x v="0"/>
    <s v="Si"/>
    <n v="4"/>
    <n v="60126"/>
  </r>
  <r>
    <n v="60000074"/>
    <x v="3"/>
    <x v="0"/>
    <x v="0"/>
    <x v="8"/>
    <s v="Asistio "/>
    <n v="13"/>
    <x v="2"/>
    <x v="11"/>
    <x v="6"/>
    <x v="27"/>
    <x v="0"/>
    <x v="0"/>
    <x v="0"/>
    <x v="0"/>
    <s v="No"/>
    <n v="0"/>
    <n v="23711"/>
  </r>
  <r>
    <n v="60000075"/>
    <x v="21"/>
    <x v="1"/>
    <x v="0"/>
    <x v="1"/>
    <s v="Asistio "/>
    <n v="33"/>
    <x v="1"/>
    <x v="0"/>
    <x v="5"/>
    <x v="17"/>
    <x v="0"/>
    <x v="0"/>
    <x v="0"/>
    <x v="0"/>
    <s v="No"/>
    <n v="0"/>
    <n v="77308"/>
  </r>
  <r>
    <n v="60000076"/>
    <x v="12"/>
    <x v="0"/>
    <x v="1"/>
    <x v="0"/>
    <s v="Asistio "/>
    <n v="10"/>
    <x v="4"/>
    <x v="0"/>
    <x v="11"/>
    <x v="8"/>
    <x v="0"/>
    <x v="0"/>
    <x v="0"/>
    <x v="0"/>
    <s v="No"/>
    <n v="0"/>
    <n v="34801"/>
  </r>
  <r>
    <n v="60000077"/>
    <x v="5"/>
    <x v="1"/>
    <x v="1"/>
    <x v="6"/>
    <s v="Asistio "/>
    <n v="16"/>
    <x v="2"/>
    <x v="1"/>
    <x v="11"/>
    <x v="32"/>
    <x v="0"/>
    <x v="0"/>
    <x v="0"/>
    <x v="0"/>
    <s v="Si"/>
    <n v="2"/>
    <n v="79253"/>
  </r>
  <r>
    <n v="60000078"/>
    <x v="17"/>
    <x v="1"/>
    <x v="1"/>
    <x v="7"/>
    <s v="Asistio "/>
    <n v="38"/>
    <x v="1"/>
    <x v="4"/>
    <x v="5"/>
    <x v="24"/>
    <x v="0"/>
    <x v="0"/>
    <x v="0"/>
    <x v="0"/>
    <s v="No"/>
    <n v="0"/>
    <n v="74467"/>
  </r>
  <r>
    <n v="60000079"/>
    <x v="19"/>
    <x v="1"/>
    <x v="1"/>
    <x v="1"/>
    <s v="Asistio "/>
    <n v="31"/>
    <x v="3"/>
    <x v="7"/>
    <x v="12"/>
    <x v="6"/>
    <x v="0"/>
    <x v="0"/>
    <x v="0"/>
    <x v="0"/>
    <s v="Si"/>
    <n v="0"/>
    <n v="71270"/>
  </r>
  <r>
    <n v="60000080"/>
    <x v="37"/>
    <x v="1"/>
    <x v="0"/>
    <x v="3"/>
    <s v="Asistio "/>
    <n v="35"/>
    <x v="1"/>
    <x v="14"/>
    <x v="3"/>
    <x v="7"/>
    <x v="0"/>
    <x v="0"/>
    <x v="0"/>
    <x v="0"/>
    <s v="No"/>
    <n v="0"/>
    <n v="84560"/>
  </r>
  <r>
    <n v="60000081"/>
    <x v="34"/>
    <x v="1"/>
    <x v="0"/>
    <x v="10"/>
    <s v="Asistio "/>
    <n v="19"/>
    <x v="0"/>
    <x v="13"/>
    <x v="10"/>
    <x v="20"/>
    <x v="0"/>
    <x v="0"/>
    <x v="0"/>
    <x v="0"/>
    <s v="Si"/>
    <n v="0"/>
    <n v="67808"/>
  </r>
  <r>
    <n v="60000082"/>
    <x v="16"/>
    <x v="0"/>
    <x v="1"/>
    <x v="0"/>
    <s v="Asistio "/>
    <n v="13"/>
    <x v="2"/>
    <x v="2"/>
    <x v="4"/>
    <x v="34"/>
    <x v="0"/>
    <x v="0"/>
    <x v="0"/>
    <x v="0"/>
    <s v="No"/>
    <n v="0"/>
    <n v="35771"/>
  </r>
  <r>
    <n v="60000083"/>
    <x v="38"/>
    <x v="0"/>
    <x v="1"/>
    <x v="7"/>
    <s v="Asistio "/>
    <n v="17"/>
    <x v="2"/>
    <x v="13"/>
    <x v="1"/>
    <x v="31"/>
    <x v="0"/>
    <x v="0"/>
    <x v="0"/>
    <x v="0"/>
    <s v="No"/>
    <n v="0"/>
    <n v="28257"/>
  </r>
  <r>
    <n v="60000084"/>
    <x v="33"/>
    <x v="1"/>
    <x v="0"/>
    <x v="8"/>
    <s v="Asistio "/>
    <n v="12"/>
    <x v="2"/>
    <x v="9"/>
    <x v="4"/>
    <x v="33"/>
    <x v="0"/>
    <x v="0"/>
    <x v="0"/>
    <x v="0"/>
    <s v="No"/>
    <n v="0"/>
    <n v="65096"/>
  </r>
  <r>
    <n v="60000085"/>
    <x v="37"/>
    <x v="1"/>
    <x v="1"/>
    <x v="2"/>
    <s v="Asistio "/>
    <n v="27"/>
    <x v="3"/>
    <x v="14"/>
    <x v="3"/>
    <x v="35"/>
    <x v="0"/>
    <x v="0"/>
    <x v="0"/>
    <x v="0"/>
    <s v="No"/>
    <n v="0"/>
    <n v="46817"/>
  </r>
  <r>
    <n v="60000086"/>
    <x v="31"/>
    <x v="1"/>
    <x v="0"/>
    <x v="2"/>
    <s v="Asistio "/>
    <n v="17"/>
    <x v="2"/>
    <x v="5"/>
    <x v="6"/>
    <x v="36"/>
    <x v="0"/>
    <x v="0"/>
    <x v="0"/>
    <x v="0"/>
    <s v="Si"/>
    <n v="3"/>
    <n v="70068"/>
  </r>
  <r>
    <n v="60000087"/>
    <x v="3"/>
    <x v="0"/>
    <x v="1"/>
    <x v="6"/>
    <s v="Asistio "/>
    <n v="26"/>
    <x v="3"/>
    <x v="14"/>
    <x v="9"/>
    <x v="28"/>
    <x v="0"/>
    <x v="0"/>
    <x v="0"/>
    <x v="0"/>
    <s v="No"/>
    <n v="0"/>
    <n v="64035"/>
  </r>
  <r>
    <n v="60000088"/>
    <x v="24"/>
    <x v="0"/>
    <x v="1"/>
    <x v="10"/>
    <s v="Asistio "/>
    <n v="26"/>
    <x v="3"/>
    <x v="7"/>
    <x v="5"/>
    <x v="5"/>
    <x v="0"/>
    <x v="0"/>
    <x v="0"/>
    <x v="0"/>
    <s v="No"/>
    <n v="0"/>
    <n v="59746"/>
  </r>
  <r>
    <n v="60000089"/>
    <x v="39"/>
    <x v="0"/>
    <x v="1"/>
    <x v="2"/>
    <s v="Asistio "/>
    <n v="38"/>
    <x v="1"/>
    <x v="13"/>
    <x v="11"/>
    <x v="17"/>
    <x v="0"/>
    <x v="0"/>
    <x v="0"/>
    <x v="0"/>
    <s v="Si"/>
    <n v="0"/>
    <n v="65443"/>
  </r>
  <r>
    <n v="60000090"/>
    <x v="29"/>
    <x v="1"/>
    <x v="0"/>
    <x v="2"/>
    <s v="Asistio "/>
    <n v="29"/>
    <x v="3"/>
    <x v="1"/>
    <x v="4"/>
    <x v="37"/>
    <x v="0"/>
    <x v="0"/>
    <x v="0"/>
    <x v="0"/>
    <s v="Si"/>
    <n v="7"/>
    <n v="77471"/>
  </r>
  <r>
    <n v="60000091"/>
    <x v="40"/>
    <x v="1"/>
    <x v="0"/>
    <x v="2"/>
    <s v="Asistio "/>
    <n v="13"/>
    <x v="2"/>
    <x v="3"/>
    <x v="8"/>
    <x v="11"/>
    <x v="0"/>
    <x v="0"/>
    <x v="0"/>
    <x v="0"/>
    <s v="Si"/>
    <n v="1"/>
    <n v="62047"/>
  </r>
  <r>
    <n v="60000092"/>
    <x v="9"/>
    <x v="0"/>
    <x v="1"/>
    <x v="8"/>
    <s v="Asistio "/>
    <n v="35"/>
    <x v="1"/>
    <x v="5"/>
    <x v="3"/>
    <x v="32"/>
    <x v="0"/>
    <x v="0"/>
    <x v="0"/>
    <x v="0"/>
    <s v="Si"/>
    <n v="3"/>
    <n v="72608"/>
  </r>
  <r>
    <n v="60000093"/>
    <x v="7"/>
    <x v="0"/>
    <x v="0"/>
    <x v="8"/>
    <s v="Asistio "/>
    <n v="35"/>
    <x v="1"/>
    <x v="0"/>
    <x v="1"/>
    <x v="18"/>
    <x v="0"/>
    <x v="0"/>
    <x v="0"/>
    <x v="0"/>
    <s v="Si"/>
    <n v="6"/>
    <n v="33947"/>
  </r>
  <r>
    <n v="60000094"/>
    <x v="28"/>
    <x v="0"/>
    <x v="0"/>
    <x v="3"/>
    <s v="Asistio "/>
    <n v="25"/>
    <x v="3"/>
    <x v="14"/>
    <x v="10"/>
    <x v="38"/>
    <x v="0"/>
    <x v="0"/>
    <x v="0"/>
    <x v="0"/>
    <s v="Si"/>
    <n v="6"/>
    <n v="37975"/>
  </r>
  <r>
    <n v="60000095"/>
    <x v="26"/>
    <x v="0"/>
    <x v="0"/>
    <x v="10"/>
    <s v="Asistio "/>
    <n v="12"/>
    <x v="2"/>
    <x v="9"/>
    <x v="3"/>
    <x v="29"/>
    <x v="0"/>
    <x v="0"/>
    <x v="0"/>
    <x v="0"/>
    <s v="No"/>
    <n v="0"/>
    <n v="29675"/>
  </r>
  <r>
    <n v="60000096"/>
    <x v="3"/>
    <x v="1"/>
    <x v="1"/>
    <x v="5"/>
    <s v="Asistio "/>
    <n v="31"/>
    <x v="3"/>
    <x v="5"/>
    <x v="12"/>
    <x v="6"/>
    <x v="0"/>
    <x v="0"/>
    <x v="0"/>
    <x v="0"/>
    <s v="No"/>
    <n v="0"/>
    <n v="51903"/>
  </r>
  <r>
    <n v="60000097"/>
    <x v="3"/>
    <x v="1"/>
    <x v="1"/>
    <x v="7"/>
    <s v="Asistio "/>
    <n v="19"/>
    <x v="0"/>
    <x v="12"/>
    <x v="8"/>
    <x v="16"/>
    <x v="0"/>
    <x v="0"/>
    <x v="0"/>
    <x v="0"/>
    <s v="No"/>
    <n v="0"/>
    <n v="75407"/>
  </r>
  <r>
    <n v="60000098"/>
    <x v="40"/>
    <x v="1"/>
    <x v="1"/>
    <x v="1"/>
    <s v="Asistio "/>
    <n v="35"/>
    <x v="1"/>
    <x v="1"/>
    <x v="2"/>
    <x v="37"/>
    <x v="0"/>
    <x v="0"/>
    <x v="0"/>
    <x v="0"/>
    <s v="No"/>
    <n v="0"/>
    <n v="53325"/>
  </r>
  <r>
    <n v="60000099"/>
    <x v="30"/>
    <x v="0"/>
    <x v="0"/>
    <x v="7"/>
    <s v="Asistio "/>
    <n v="36"/>
    <x v="1"/>
    <x v="5"/>
    <x v="3"/>
    <x v="39"/>
    <x v="0"/>
    <x v="0"/>
    <x v="0"/>
    <x v="0"/>
    <s v="Si"/>
    <n v="7"/>
    <n v="67527"/>
  </r>
  <r>
    <n v="60000100"/>
    <x v="6"/>
    <x v="1"/>
    <x v="1"/>
    <x v="3"/>
    <s v="Asistio "/>
    <n v="17"/>
    <x v="2"/>
    <x v="12"/>
    <x v="1"/>
    <x v="7"/>
    <x v="0"/>
    <x v="0"/>
    <x v="0"/>
    <x v="0"/>
    <s v="Si"/>
    <n v="5"/>
    <n v="41676"/>
  </r>
  <r>
    <n v="60000101"/>
    <x v="22"/>
    <x v="1"/>
    <x v="0"/>
    <x v="4"/>
    <s v="Asistio "/>
    <n v="27"/>
    <x v="3"/>
    <x v="15"/>
    <x v="12"/>
    <x v="38"/>
    <x v="0"/>
    <x v="0"/>
    <x v="0"/>
    <x v="0"/>
    <s v="No"/>
    <n v="0"/>
    <n v="83260"/>
  </r>
  <r>
    <n v="60000102"/>
    <x v="9"/>
    <x v="1"/>
    <x v="1"/>
    <x v="8"/>
    <s v="Asistio "/>
    <n v="29"/>
    <x v="3"/>
    <x v="9"/>
    <x v="9"/>
    <x v="4"/>
    <x v="0"/>
    <x v="0"/>
    <x v="0"/>
    <x v="0"/>
    <s v="Si"/>
    <n v="0"/>
    <n v="42293"/>
  </r>
  <r>
    <n v="60000103"/>
    <x v="41"/>
    <x v="1"/>
    <x v="1"/>
    <x v="4"/>
    <s v="Asistio "/>
    <n v="23"/>
    <x v="0"/>
    <x v="16"/>
    <x v="1"/>
    <x v="29"/>
    <x v="0"/>
    <x v="0"/>
    <x v="0"/>
    <x v="0"/>
    <s v="Si"/>
    <n v="4"/>
    <n v="31530"/>
  </r>
  <r>
    <n v="60000104"/>
    <x v="21"/>
    <x v="0"/>
    <x v="0"/>
    <x v="6"/>
    <s v="Asistio "/>
    <n v="21"/>
    <x v="0"/>
    <x v="15"/>
    <x v="12"/>
    <x v="28"/>
    <x v="0"/>
    <x v="0"/>
    <x v="0"/>
    <x v="0"/>
    <s v="No"/>
    <n v="0"/>
    <n v="80431"/>
  </r>
  <r>
    <n v="60000105"/>
    <x v="32"/>
    <x v="0"/>
    <x v="0"/>
    <x v="10"/>
    <s v="Asistio "/>
    <n v="36"/>
    <x v="1"/>
    <x v="3"/>
    <x v="5"/>
    <x v="40"/>
    <x v="0"/>
    <x v="0"/>
    <x v="0"/>
    <x v="0"/>
    <s v="Si"/>
    <n v="2"/>
    <n v="27023"/>
  </r>
  <r>
    <n v="60000106"/>
    <x v="8"/>
    <x v="0"/>
    <x v="0"/>
    <x v="6"/>
    <s v="Asistio "/>
    <n v="11"/>
    <x v="4"/>
    <x v="0"/>
    <x v="3"/>
    <x v="41"/>
    <x v="0"/>
    <x v="0"/>
    <x v="0"/>
    <x v="0"/>
    <s v="Si"/>
    <n v="0"/>
    <n v="30628"/>
  </r>
  <r>
    <n v="60000107"/>
    <x v="24"/>
    <x v="1"/>
    <x v="0"/>
    <x v="7"/>
    <s v="Asistio "/>
    <n v="11"/>
    <x v="4"/>
    <x v="11"/>
    <x v="10"/>
    <x v="42"/>
    <x v="0"/>
    <x v="0"/>
    <x v="0"/>
    <x v="0"/>
    <s v="Si"/>
    <n v="7"/>
    <n v="84173"/>
  </r>
  <r>
    <n v="60000108"/>
    <x v="36"/>
    <x v="1"/>
    <x v="0"/>
    <x v="3"/>
    <s v="Asistio "/>
    <n v="28"/>
    <x v="3"/>
    <x v="9"/>
    <x v="10"/>
    <x v="13"/>
    <x v="0"/>
    <x v="0"/>
    <x v="0"/>
    <x v="0"/>
    <s v="Si"/>
    <n v="4"/>
    <n v="40057"/>
  </r>
  <r>
    <n v="60000109"/>
    <x v="35"/>
    <x v="1"/>
    <x v="1"/>
    <x v="2"/>
    <s v="Asistio "/>
    <n v="32"/>
    <x v="1"/>
    <x v="0"/>
    <x v="8"/>
    <x v="29"/>
    <x v="0"/>
    <x v="0"/>
    <x v="0"/>
    <x v="0"/>
    <s v="Si"/>
    <n v="0"/>
    <n v="31074"/>
  </r>
  <r>
    <n v="60000110"/>
    <x v="19"/>
    <x v="0"/>
    <x v="1"/>
    <x v="5"/>
    <s v="Asistio "/>
    <n v="35"/>
    <x v="1"/>
    <x v="11"/>
    <x v="11"/>
    <x v="22"/>
    <x v="0"/>
    <x v="0"/>
    <x v="0"/>
    <x v="0"/>
    <s v="Si"/>
    <n v="5"/>
    <n v="40029"/>
  </r>
  <r>
    <n v="60000111"/>
    <x v="37"/>
    <x v="0"/>
    <x v="0"/>
    <x v="9"/>
    <s v="Asistio "/>
    <n v="22"/>
    <x v="0"/>
    <x v="4"/>
    <x v="11"/>
    <x v="10"/>
    <x v="0"/>
    <x v="0"/>
    <x v="0"/>
    <x v="0"/>
    <s v="Si"/>
    <n v="0"/>
    <n v="63650"/>
  </r>
  <r>
    <n v="60000112"/>
    <x v="36"/>
    <x v="0"/>
    <x v="1"/>
    <x v="7"/>
    <s v="Asistio "/>
    <n v="28"/>
    <x v="3"/>
    <x v="14"/>
    <x v="1"/>
    <x v="7"/>
    <x v="0"/>
    <x v="0"/>
    <x v="0"/>
    <x v="0"/>
    <s v="No"/>
    <n v="0"/>
    <n v="78866"/>
  </r>
  <r>
    <n v="60000113"/>
    <x v="42"/>
    <x v="1"/>
    <x v="1"/>
    <x v="5"/>
    <s v="Asistio "/>
    <n v="25"/>
    <x v="3"/>
    <x v="16"/>
    <x v="8"/>
    <x v="10"/>
    <x v="0"/>
    <x v="0"/>
    <x v="0"/>
    <x v="0"/>
    <s v="Si"/>
    <n v="3"/>
    <n v="51138"/>
  </r>
  <r>
    <n v="60000114"/>
    <x v="19"/>
    <x v="1"/>
    <x v="0"/>
    <x v="2"/>
    <s v="Asistio "/>
    <n v="19"/>
    <x v="0"/>
    <x v="3"/>
    <x v="11"/>
    <x v="1"/>
    <x v="0"/>
    <x v="0"/>
    <x v="0"/>
    <x v="0"/>
    <s v="Si"/>
    <n v="6"/>
    <n v="66491"/>
  </r>
  <r>
    <n v="60000115"/>
    <x v="10"/>
    <x v="1"/>
    <x v="0"/>
    <x v="10"/>
    <s v="Asistio "/>
    <n v="17"/>
    <x v="2"/>
    <x v="9"/>
    <x v="8"/>
    <x v="38"/>
    <x v="0"/>
    <x v="0"/>
    <x v="0"/>
    <x v="0"/>
    <s v="Si"/>
    <n v="3"/>
    <n v="48516"/>
  </r>
  <r>
    <n v="60000116"/>
    <x v="43"/>
    <x v="0"/>
    <x v="1"/>
    <x v="1"/>
    <s v="Asistio "/>
    <n v="23"/>
    <x v="0"/>
    <x v="11"/>
    <x v="10"/>
    <x v="31"/>
    <x v="0"/>
    <x v="0"/>
    <x v="0"/>
    <x v="0"/>
    <s v="No"/>
    <n v="0"/>
    <n v="58625"/>
  </r>
  <r>
    <n v="60000117"/>
    <x v="2"/>
    <x v="1"/>
    <x v="0"/>
    <x v="6"/>
    <s v="Asistio "/>
    <n v="20"/>
    <x v="0"/>
    <x v="4"/>
    <x v="7"/>
    <x v="31"/>
    <x v="0"/>
    <x v="0"/>
    <x v="0"/>
    <x v="0"/>
    <s v="Si"/>
    <n v="1"/>
    <n v="35181"/>
  </r>
  <r>
    <n v="60000118"/>
    <x v="23"/>
    <x v="0"/>
    <x v="0"/>
    <x v="8"/>
    <s v="Asistio "/>
    <n v="28"/>
    <x v="3"/>
    <x v="12"/>
    <x v="5"/>
    <x v="3"/>
    <x v="0"/>
    <x v="0"/>
    <x v="0"/>
    <x v="0"/>
    <s v="No"/>
    <n v="0"/>
    <n v="30585"/>
  </r>
  <r>
    <n v="60000119"/>
    <x v="8"/>
    <x v="0"/>
    <x v="1"/>
    <x v="11"/>
    <s v="Asistio "/>
    <n v="37"/>
    <x v="1"/>
    <x v="2"/>
    <x v="7"/>
    <x v="43"/>
    <x v="0"/>
    <x v="0"/>
    <x v="0"/>
    <x v="0"/>
    <s v="No"/>
    <n v="0"/>
    <n v="52519"/>
  </r>
  <r>
    <n v="60000120"/>
    <x v="13"/>
    <x v="0"/>
    <x v="0"/>
    <x v="7"/>
    <s v="Asistio "/>
    <n v="37"/>
    <x v="1"/>
    <x v="6"/>
    <x v="7"/>
    <x v="15"/>
    <x v="0"/>
    <x v="0"/>
    <x v="0"/>
    <x v="0"/>
    <s v="No"/>
    <n v="0"/>
    <n v="33470"/>
  </r>
  <r>
    <n v="60000121"/>
    <x v="24"/>
    <x v="0"/>
    <x v="0"/>
    <x v="9"/>
    <s v="Asistio "/>
    <n v="20"/>
    <x v="0"/>
    <x v="3"/>
    <x v="6"/>
    <x v="18"/>
    <x v="0"/>
    <x v="0"/>
    <x v="0"/>
    <x v="0"/>
    <s v="No"/>
    <n v="0"/>
    <n v="35876"/>
  </r>
  <r>
    <n v="60000122"/>
    <x v="40"/>
    <x v="1"/>
    <x v="1"/>
    <x v="9"/>
    <s v="Asistio "/>
    <n v="10"/>
    <x v="4"/>
    <x v="8"/>
    <x v="4"/>
    <x v="44"/>
    <x v="0"/>
    <x v="0"/>
    <x v="0"/>
    <x v="0"/>
    <s v="No"/>
    <n v="0"/>
    <n v="27806"/>
  </r>
  <r>
    <n v="60000123"/>
    <x v="36"/>
    <x v="1"/>
    <x v="0"/>
    <x v="11"/>
    <s v="Asistio "/>
    <n v="21"/>
    <x v="0"/>
    <x v="9"/>
    <x v="11"/>
    <x v="37"/>
    <x v="0"/>
    <x v="0"/>
    <x v="0"/>
    <x v="0"/>
    <s v="Si"/>
    <n v="7"/>
    <n v="63422"/>
  </r>
  <r>
    <n v="60000124"/>
    <x v="3"/>
    <x v="1"/>
    <x v="0"/>
    <x v="3"/>
    <s v="Asistio "/>
    <n v="21"/>
    <x v="0"/>
    <x v="3"/>
    <x v="5"/>
    <x v="45"/>
    <x v="0"/>
    <x v="0"/>
    <x v="0"/>
    <x v="0"/>
    <s v="Si"/>
    <n v="4"/>
    <n v="52615"/>
  </r>
  <r>
    <n v="60000125"/>
    <x v="39"/>
    <x v="1"/>
    <x v="0"/>
    <x v="0"/>
    <s v="Asistio "/>
    <n v="35"/>
    <x v="1"/>
    <x v="9"/>
    <x v="3"/>
    <x v="25"/>
    <x v="0"/>
    <x v="0"/>
    <x v="0"/>
    <x v="0"/>
    <s v="No"/>
    <n v="0"/>
    <n v="77731"/>
  </r>
  <r>
    <n v="60000126"/>
    <x v="27"/>
    <x v="1"/>
    <x v="1"/>
    <x v="2"/>
    <s v="Asistio "/>
    <n v="33"/>
    <x v="1"/>
    <x v="4"/>
    <x v="7"/>
    <x v="4"/>
    <x v="0"/>
    <x v="0"/>
    <x v="0"/>
    <x v="0"/>
    <s v="No"/>
    <n v="0"/>
    <n v="58121"/>
  </r>
  <r>
    <n v="60000127"/>
    <x v="12"/>
    <x v="1"/>
    <x v="1"/>
    <x v="2"/>
    <s v="Asistio "/>
    <n v="23"/>
    <x v="0"/>
    <x v="16"/>
    <x v="0"/>
    <x v="10"/>
    <x v="0"/>
    <x v="0"/>
    <x v="0"/>
    <x v="0"/>
    <s v="Si"/>
    <n v="4"/>
    <n v="48154"/>
  </r>
  <r>
    <n v="60000128"/>
    <x v="7"/>
    <x v="0"/>
    <x v="0"/>
    <x v="10"/>
    <s v="Asistio "/>
    <n v="13"/>
    <x v="2"/>
    <x v="5"/>
    <x v="10"/>
    <x v="46"/>
    <x v="0"/>
    <x v="0"/>
    <x v="0"/>
    <x v="0"/>
    <s v="Si"/>
    <n v="4"/>
    <n v="30044"/>
  </r>
  <r>
    <n v="60000129"/>
    <x v="41"/>
    <x v="1"/>
    <x v="1"/>
    <x v="1"/>
    <s v="Asistio "/>
    <n v="12"/>
    <x v="2"/>
    <x v="14"/>
    <x v="1"/>
    <x v="47"/>
    <x v="0"/>
    <x v="0"/>
    <x v="0"/>
    <x v="0"/>
    <s v="Si"/>
    <n v="1"/>
    <n v="70847"/>
  </r>
  <r>
    <n v="60000130"/>
    <x v="40"/>
    <x v="0"/>
    <x v="1"/>
    <x v="10"/>
    <s v="Asistio "/>
    <n v="15"/>
    <x v="2"/>
    <x v="1"/>
    <x v="7"/>
    <x v="6"/>
    <x v="0"/>
    <x v="0"/>
    <x v="0"/>
    <x v="0"/>
    <s v="Si"/>
    <n v="1"/>
    <n v="73043"/>
  </r>
  <r>
    <n v="60000131"/>
    <x v="18"/>
    <x v="1"/>
    <x v="0"/>
    <x v="11"/>
    <s v="Asistio "/>
    <n v="21"/>
    <x v="0"/>
    <x v="4"/>
    <x v="2"/>
    <x v="28"/>
    <x v="0"/>
    <x v="0"/>
    <x v="0"/>
    <x v="0"/>
    <s v="No"/>
    <n v="0"/>
    <n v="31925"/>
  </r>
  <r>
    <n v="60000132"/>
    <x v="31"/>
    <x v="1"/>
    <x v="0"/>
    <x v="0"/>
    <s v="Asistio "/>
    <n v="11"/>
    <x v="4"/>
    <x v="11"/>
    <x v="12"/>
    <x v="26"/>
    <x v="0"/>
    <x v="0"/>
    <x v="0"/>
    <x v="0"/>
    <s v="No"/>
    <n v="0"/>
    <n v="75752"/>
  </r>
  <r>
    <n v="60000133"/>
    <x v="1"/>
    <x v="1"/>
    <x v="0"/>
    <x v="1"/>
    <s v="Asistio "/>
    <n v="21"/>
    <x v="0"/>
    <x v="9"/>
    <x v="9"/>
    <x v="31"/>
    <x v="0"/>
    <x v="0"/>
    <x v="0"/>
    <x v="0"/>
    <s v="No"/>
    <n v="0"/>
    <n v="24793"/>
  </r>
  <r>
    <n v="60000134"/>
    <x v="23"/>
    <x v="0"/>
    <x v="1"/>
    <x v="3"/>
    <s v="Asistio "/>
    <n v="29"/>
    <x v="3"/>
    <x v="10"/>
    <x v="3"/>
    <x v="19"/>
    <x v="0"/>
    <x v="0"/>
    <x v="0"/>
    <x v="0"/>
    <s v="Si"/>
    <n v="0"/>
    <n v="58103"/>
  </r>
  <r>
    <n v="60000135"/>
    <x v="31"/>
    <x v="0"/>
    <x v="1"/>
    <x v="9"/>
    <s v="Asistio "/>
    <n v="33"/>
    <x v="1"/>
    <x v="3"/>
    <x v="11"/>
    <x v="20"/>
    <x v="0"/>
    <x v="0"/>
    <x v="0"/>
    <x v="0"/>
    <s v="Si"/>
    <n v="1"/>
    <n v="46478"/>
  </r>
  <r>
    <n v="60000136"/>
    <x v="8"/>
    <x v="0"/>
    <x v="0"/>
    <x v="5"/>
    <s v="Asistio "/>
    <n v="30"/>
    <x v="3"/>
    <x v="3"/>
    <x v="0"/>
    <x v="28"/>
    <x v="0"/>
    <x v="0"/>
    <x v="0"/>
    <x v="0"/>
    <s v="Si"/>
    <n v="3"/>
    <n v="83401"/>
  </r>
  <r>
    <n v="60000137"/>
    <x v="18"/>
    <x v="0"/>
    <x v="0"/>
    <x v="2"/>
    <s v="Asistio "/>
    <n v="25"/>
    <x v="3"/>
    <x v="14"/>
    <x v="3"/>
    <x v="30"/>
    <x v="0"/>
    <x v="0"/>
    <x v="0"/>
    <x v="0"/>
    <s v="No"/>
    <n v="0"/>
    <n v="61812"/>
  </r>
  <r>
    <n v="60000138"/>
    <x v="23"/>
    <x v="0"/>
    <x v="0"/>
    <x v="3"/>
    <s v="Asistio "/>
    <n v="33"/>
    <x v="1"/>
    <x v="0"/>
    <x v="6"/>
    <x v="41"/>
    <x v="0"/>
    <x v="0"/>
    <x v="0"/>
    <x v="0"/>
    <s v="No"/>
    <n v="0"/>
    <n v="58973"/>
  </r>
  <r>
    <n v="60000139"/>
    <x v="10"/>
    <x v="0"/>
    <x v="1"/>
    <x v="6"/>
    <s v="Asistio "/>
    <n v="23"/>
    <x v="0"/>
    <x v="12"/>
    <x v="5"/>
    <x v="34"/>
    <x v="0"/>
    <x v="0"/>
    <x v="0"/>
    <x v="0"/>
    <s v="No"/>
    <n v="0"/>
    <n v="36477"/>
  </r>
  <r>
    <n v="60000140"/>
    <x v="1"/>
    <x v="1"/>
    <x v="1"/>
    <x v="9"/>
    <s v="Asistio "/>
    <n v="33"/>
    <x v="1"/>
    <x v="1"/>
    <x v="7"/>
    <x v="39"/>
    <x v="0"/>
    <x v="0"/>
    <x v="0"/>
    <x v="0"/>
    <s v="Si"/>
    <n v="4"/>
    <n v="33098"/>
  </r>
  <r>
    <n v="60000141"/>
    <x v="18"/>
    <x v="0"/>
    <x v="1"/>
    <x v="1"/>
    <s v="Asistio "/>
    <n v="12"/>
    <x v="2"/>
    <x v="0"/>
    <x v="12"/>
    <x v="44"/>
    <x v="0"/>
    <x v="0"/>
    <x v="0"/>
    <x v="0"/>
    <s v="Si"/>
    <n v="0"/>
    <n v="71611"/>
  </r>
  <r>
    <n v="60000142"/>
    <x v="16"/>
    <x v="1"/>
    <x v="1"/>
    <x v="0"/>
    <s v="Asistio "/>
    <n v="38"/>
    <x v="1"/>
    <x v="11"/>
    <x v="12"/>
    <x v="43"/>
    <x v="0"/>
    <x v="0"/>
    <x v="0"/>
    <x v="0"/>
    <s v="No"/>
    <n v="0"/>
    <n v="29276"/>
  </r>
  <r>
    <n v="60000143"/>
    <x v="34"/>
    <x v="0"/>
    <x v="1"/>
    <x v="0"/>
    <s v="Asistio "/>
    <n v="35"/>
    <x v="1"/>
    <x v="7"/>
    <x v="0"/>
    <x v="14"/>
    <x v="0"/>
    <x v="0"/>
    <x v="0"/>
    <x v="0"/>
    <s v="Si"/>
    <n v="2"/>
    <n v="26313"/>
  </r>
  <r>
    <n v="60000144"/>
    <x v="37"/>
    <x v="1"/>
    <x v="0"/>
    <x v="8"/>
    <s v="Asistio "/>
    <n v="15"/>
    <x v="2"/>
    <x v="4"/>
    <x v="2"/>
    <x v="35"/>
    <x v="0"/>
    <x v="0"/>
    <x v="0"/>
    <x v="0"/>
    <s v="No"/>
    <n v="0"/>
    <n v="35278"/>
  </r>
  <r>
    <n v="60000145"/>
    <x v="40"/>
    <x v="1"/>
    <x v="0"/>
    <x v="1"/>
    <s v="Asistio "/>
    <n v="16"/>
    <x v="2"/>
    <x v="11"/>
    <x v="11"/>
    <x v="14"/>
    <x v="0"/>
    <x v="0"/>
    <x v="0"/>
    <x v="0"/>
    <s v="Si"/>
    <n v="2"/>
    <n v="72189"/>
  </r>
  <r>
    <n v="60000146"/>
    <x v="44"/>
    <x v="0"/>
    <x v="1"/>
    <x v="1"/>
    <s v="Asistio "/>
    <n v="19"/>
    <x v="0"/>
    <x v="8"/>
    <x v="6"/>
    <x v="40"/>
    <x v="0"/>
    <x v="0"/>
    <x v="0"/>
    <x v="0"/>
    <s v="No"/>
    <n v="0"/>
    <n v="47169"/>
  </r>
  <r>
    <n v="60000147"/>
    <x v="16"/>
    <x v="1"/>
    <x v="0"/>
    <x v="7"/>
    <s v="Asistio "/>
    <n v="37"/>
    <x v="1"/>
    <x v="16"/>
    <x v="12"/>
    <x v="33"/>
    <x v="0"/>
    <x v="0"/>
    <x v="0"/>
    <x v="0"/>
    <s v="No"/>
    <n v="0"/>
    <n v="33136"/>
  </r>
  <r>
    <n v="60000148"/>
    <x v="20"/>
    <x v="0"/>
    <x v="1"/>
    <x v="1"/>
    <s v="Asistio "/>
    <n v="18"/>
    <x v="2"/>
    <x v="4"/>
    <x v="4"/>
    <x v="25"/>
    <x v="0"/>
    <x v="0"/>
    <x v="0"/>
    <x v="0"/>
    <s v="Si"/>
    <n v="7"/>
    <n v="60885"/>
  </r>
  <r>
    <n v="60000149"/>
    <x v="36"/>
    <x v="0"/>
    <x v="0"/>
    <x v="11"/>
    <s v="Asistio "/>
    <n v="20"/>
    <x v="0"/>
    <x v="9"/>
    <x v="2"/>
    <x v="33"/>
    <x v="0"/>
    <x v="0"/>
    <x v="0"/>
    <x v="0"/>
    <s v="Si"/>
    <n v="2"/>
    <n v="74807"/>
  </r>
  <r>
    <n v="60000150"/>
    <x v="33"/>
    <x v="1"/>
    <x v="1"/>
    <x v="1"/>
    <s v="Asistio "/>
    <n v="10"/>
    <x v="4"/>
    <x v="11"/>
    <x v="7"/>
    <x v="0"/>
    <x v="0"/>
    <x v="0"/>
    <x v="0"/>
    <x v="0"/>
    <s v="Si"/>
    <n v="5"/>
    <n v="60944"/>
  </r>
  <r>
    <n v="60000151"/>
    <x v="10"/>
    <x v="0"/>
    <x v="0"/>
    <x v="9"/>
    <s v="Asistio "/>
    <n v="23"/>
    <x v="0"/>
    <x v="8"/>
    <x v="12"/>
    <x v="48"/>
    <x v="0"/>
    <x v="0"/>
    <x v="0"/>
    <x v="0"/>
    <s v="No"/>
    <n v="0"/>
    <n v="58918"/>
  </r>
  <r>
    <n v="60000152"/>
    <x v="0"/>
    <x v="0"/>
    <x v="0"/>
    <x v="9"/>
    <s v="Asistio "/>
    <n v="35"/>
    <x v="1"/>
    <x v="10"/>
    <x v="8"/>
    <x v="15"/>
    <x v="0"/>
    <x v="0"/>
    <x v="0"/>
    <x v="0"/>
    <s v="No"/>
    <n v="0"/>
    <n v="37923"/>
  </r>
  <r>
    <n v="60000153"/>
    <x v="2"/>
    <x v="1"/>
    <x v="0"/>
    <x v="2"/>
    <s v="Asistio "/>
    <n v="36"/>
    <x v="1"/>
    <x v="15"/>
    <x v="1"/>
    <x v="7"/>
    <x v="0"/>
    <x v="0"/>
    <x v="0"/>
    <x v="0"/>
    <s v="No"/>
    <n v="0"/>
    <n v="75896"/>
  </r>
  <r>
    <n v="60000154"/>
    <x v="13"/>
    <x v="1"/>
    <x v="0"/>
    <x v="2"/>
    <s v="Asistio "/>
    <n v="16"/>
    <x v="2"/>
    <x v="6"/>
    <x v="1"/>
    <x v="17"/>
    <x v="0"/>
    <x v="0"/>
    <x v="0"/>
    <x v="0"/>
    <s v="No"/>
    <n v="0"/>
    <n v="39248"/>
  </r>
  <r>
    <n v="60000155"/>
    <x v="6"/>
    <x v="1"/>
    <x v="1"/>
    <x v="10"/>
    <s v="Asistio "/>
    <n v="32"/>
    <x v="1"/>
    <x v="16"/>
    <x v="6"/>
    <x v="1"/>
    <x v="0"/>
    <x v="0"/>
    <x v="0"/>
    <x v="0"/>
    <s v="Si"/>
    <n v="2"/>
    <n v="61793"/>
  </r>
  <r>
    <n v="60000156"/>
    <x v="1"/>
    <x v="1"/>
    <x v="1"/>
    <x v="11"/>
    <s v="Asistio "/>
    <n v="35"/>
    <x v="1"/>
    <x v="15"/>
    <x v="10"/>
    <x v="32"/>
    <x v="0"/>
    <x v="0"/>
    <x v="0"/>
    <x v="0"/>
    <s v="No"/>
    <n v="0"/>
    <n v="84062"/>
  </r>
  <r>
    <n v="60000157"/>
    <x v="43"/>
    <x v="1"/>
    <x v="1"/>
    <x v="2"/>
    <s v="Asistio "/>
    <n v="11"/>
    <x v="4"/>
    <x v="14"/>
    <x v="6"/>
    <x v="38"/>
    <x v="0"/>
    <x v="0"/>
    <x v="0"/>
    <x v="0"/>
    <s v="Si"/>
    <n v="6"/>
    <n v="50759"/>
  </r>
  <r>
    <n v="60000158"/>
    <x v="13"/>
    <x v="1"/>
    <x v="0"/>
    <x v="8"/>
    <s v="Asistio "/>
    <n v="31"/>
    <x v="3"/>
    <x v="2"/>
    <x v="4"/>
    <x v="38"/>
    <x v="0"/>
    <x v="0"/>
    <x v="0"/>
    <x v="0"/>
    <s v="Si"/>
    <n v="6"/>
    <n v="29568"/>
  </r>
  <r>
    <n v="60000159"/>
    <x v="27"/>
    <x v="0"/>
    <x v="1"/>
    <x v="6"/>
    <s v="Asistio "/>
    <n v="27"/>
    <x v="3"/>
    <x v="4"/>
    <x v="7"/>
    <x v="47"/>
    <x v="0"/>
    <x v="0"/>
    <x v="0"/>
    <x v="0"/>
    <s v="Si"/>
    <n v="3"/>
    <n v="71682"/>
  </r>
  <r>
    <n v="60000160"/>
    <x v="33"/>
    <x v="1"/>
    <x v="1"/>
    <x v="7"/>
    <s v="Asistio "/>
    <n v="19"/>
    <x v="0"/>
    <x v="6"/>
    <x v="12"/>
    <x v="40"/>
    <x v="0"/>
    <x v="0"/>
    <x v="0"/>
    <x v="0"/>
    <s v="No"/>
    <n v="0"/>
    <n v="70908"/>
  </r>
  <r>
    <n v="60000161"/>
    <x v="6"/>
    <x v="1"/>
    <x v="0"/>
    <x v="5"/>
    <s v="Asistio "/>
    <n v="27"/>
    <x v="3"/>
    <x v="8"/>
    <x v="12"/>
    <x v="12"/>
    <x v="0"/>
    <x v="0"/>
    <x v="0"/>
    <x v="0"/>
    <s v="Si"/>
    <n v="4"/>
    <n v="62729"/>
  </r>
  <r>
    <n v="60000162"/>
    <x v="45"/>
    <x v="0"/>
    <x v="0"/>
    <x v="6"/>
    <s v="Asistio "/>
    <n v="21"/>
    <x v="0"/>
    <x v="1"/>
    <x v="12"/>
    <x v="45"/>
    <x v="0"/>
    <x v="0"/>
    <x v="0"/>
    <x v="0"/>
    <s v="Si"/>
    <n v="5"/>
    <n v="51872"/>
  </r>
  <r>
    <n v="60000163"/>
    <x v="13"/>
    <x v="0"/>
    <x v="0"/>
    <x v="0"/>
    <s v="Asistio "/>
    <n v="37"/>
    <x v="1"/>
    <x v="3"/>
    <x v="3"/>
    <x v="48"/>
    <x v="0"/>
    <x v="0"/>
    <x v="0"/>
    <x v="0"/>
    <s v="No"/>
    <n v="0"/>
    <n v="41202"/>
  </r>
  <r>
    <n v="60000164"/>
    <x v="12"/>
    <x v="1"/>
    <x v="1"/>
    <x v="10"/>
    <s v="Asistio "/>
    <n v="33"/>
    <x v="1"/>
    <x v="7"/>
    <x v="4"/>
    <x v="24"/>
    <x v="0"/>
    <x v="0"/>
    <x v="0"/>
    <x v="0"/>
    <s v="Si"/>
    <n v="6"/>
    <n v="54180"/>
  </r>
  <r>
    <n v="60000165"/>
    <x v="17"/>
    <x v="1"/>
    <x v="0"/>
    <x v="7"/>
    <s v="Asistio "/>
    <n v="12"/>
    <x v="2"/>
    <x v="12"/>
    <x v="8"/>
    <x v="47"/>
    <x v="0"/>
    <x v="0"/>
    <x v="0"/>
    <x v="0"/>
    <s v="Si"/>
    <n v="6"/>
    <n v="59795"/>
  </r>
  <r>
    <n v="60000166"/>
    <x v="5"/>
    <x v="1"/>
    <x v="0"/>
    <x v="9"/>
    <s v="Asistio "/>
    <n v="37"/>
    <x v="1"/>
    <x v="3"/>
    <x v="11"/>
    <x v="19"/>
    <x v="0"/>
    <x v="0"/>
    <x v="0"/>
    <x v="0"/>
    <s v="No"/>
    <n v="0"/>
    <n v="26722"/>
  </r>
  <r>
    <n v="60000167"/>
    <x v="36"/>
    <x v="1"/>
    <x v="0"/>
    <x v="0"/>
    <s v="Asistio "/>
    <n v="36"/>
    <x v="1"/>
    <x v="14"/>
    <x v="7"/>
    <x v="4"/>
    <x v="0"/>
    <x v="0"/>
    <x v="0"/>
    <x v="0"/>
    <s v="Si"/>
    <n v="0"/>
    <n v="39648"/>
  </r>
  <r>
    <n v="60000168"/>
    <x v="30"/>
    <x v="1"/>
    <x v="1"/>
    <x v="1"/>
    <s v="Asistio "/>
    <n v="35"/>
    <x v="1"/>
    <x v="12"/>
    <x v="4"/>
    <x v="30"/>
    <x v="0"/>
    <x v="0"/>
    <x v="0"/>
    <x v="0"/>
    <s v="Si"/>
    <n v="5"/>
    <n v="63995"/>
  </r>
  <r>
    <n v="60000169"/>
    <x v="32"/>
    <x v="1"/>
    <x v="1"/>
    <x v="5"/>
    <s v="Asistio "/>
    <n v="25"/>
    <x v="3"/>
    <x v="7"/>
    <x v="7"/>
    <x v="26"/>
    <x v="0"/>
    <x v="0"/>
    <x v="0"/>
    <x v="0"/>
    <s v="Si"/>
    <n v="5"/>
    <n v="76037"/>
  </r>
  <r>
    <n v="60000170"/>
    <x v="23"/>
    <x v="0"/>
    <x v="1"/>
    <x v="4"/>
    <s v="Asistio "/>
    <n v="17"/>
    <x v="2"/>
    <x v="3"/>
    <x v="1"/>
    <x v="4"/>
    <x v="0"/>
    <x v="0"/>
    <x v="0"/>
    <x v="0"/>
    <s v="No"/>
    <n v="0"/>
    <n v="56856"/>
  </r>
  <r>
    <n v="60000171"/>
    <x v="39"/>
    <x v="0"/>
    <x v="0"/>
    <x v="10"/>
    <s v="Asistio "/>
    <n v="33"/>
    <x v="1"/>
    <x v="9"/>
    <x v="2"/>
    <x v="48"/>
    <x v="0"/>
    <x v="0"/>
    <x v="0"/>
    <x v="0"/>
    <s v="No"/>
    <n v="0"/>
    <n v="60704"/>
  </r>
  <r>
    <n v="60000172"/>
    <x v="18"/>
    <x v="1"/>
    <x v="0"/>
    <x v="3"/>
    <s v="Asistio "/>
    <n v="25"/>
    <x v="3"/>
    <x v="0"/>
    <x v="0"/>
    <x v="41"/>
    <x v="0"/>
    <x v="0"/>
    <x v="0"/>
    <x v="0"/>
    <s v="No"/>
    <n v="0"/>
    <n v="50080"/>
  </r>
  <r>
    <n v="60000173"/>
    <x v="19"/>
    <x v="1"/>
    <x v="0"/>
    <x v="7"/>
    <s v="Asistio "/>
    <n v="21"/>
    <x v="0"/>
    <x v="11"/>
    <x v="6"/>
    <x v="7"/>
    <x v="0"/>
    <x v="0"/>
    <x v="0"/>
    <x v="0"/>
    <s v="No"/>
    <n v="0"/>
    <n v="26389"/>
  </r>
  <r>
    <n v="60000174"/>
    <x v="26"/>
    <x v="1"/>
    <x v="0"/>
    <x v="3"/>
    <s v="Asistio "/>
    <n v="25"/>
    <x v="3"/>
    <x v="15"/>
    <x v="1"/>
    <x v="21"/>
    <x v="0"/>
    <x v="0"/>
    <x v="0"/>
    <x v="0"/>
    <s v="No"/>
    <n v="0"/>
    <n v="29057"/>
  </r>
  <r>
    <n v="60000175"/>
    <x v="30"/>
    <x v="1"/>
    <x v="1"/>
    <x v="2"/>
    <s v="Asistio "/>
    <n v="14"/>
    <x v="2"/>
    <x v="1"/>
    <x v="6"/>
    <x v="22"/>
    <x v="0"/>
    <x v="0"/>
    <x v="0"/>
    <x v="0"/>
    <s v="Si"/>
    <n v="6"/>
    <n v="33747"/>
  </r>
  <r>
    <n v="60000176"/>
    <x v="39"/>
    <x v="1"/>
    <x v="1"/>
    <x v="8"/>
    <s v="Asistio "/>
    <n v="27"/>
    <x v="3"/>
    <x v="8"/>
    <x v="8"/>
    <x v="2"/>
    <x v="0"/>
    <x v="0"/>
    <x v="0"/>
    <x v="0"/>
    <s v="Si"/>
    <n v="2"/>
    <n v="39675"/>
  </r>
  <r>
    <n v="60000177"/>
    <x v="9"/>
    <x v="0"/>
    <x v="0"/>
    <x v="4"/>
    <s v="Asistio "/>
    <n v="34"/>
    <x v="1"/>
    <x v="11"/>
    <x v="7"/>
    <x v="20"/>
    <x v="0"/>
    <x v="0"/>
    <x v="0"/>
    <x v="0"/>
    <s v="Si"/>
    <n v="3"/>
    <n v="32052"/>
  </r>
  <r>
    <n v="60000178"/>
    <x v="9"/>
    <x v="1"/>
    <x v="1"/>
    <x v="1"/>
    <s v="Asistio "/>
    <n v="31"/>
    <x v="3"/>
    <x v="15"/>
    <x v="2"/>
    <x v="17"/>
    <x v="0"/>
    <x v="0"/>
    <x v="0"/>
    <x v="0"/>
    <s v="Si"/>
    <n v="6"/>
    <n v="84649"/>
  </r>
  <r>
    <n v="60000179"/>
    <x v="39"/>
    <x v="0"/>
    <x v="1"/>
    <x v="11"/>
    <s v="Asistio "/>
    <n v="27"/>
    <x v="3"/>
    <x v="6"/>
    <x v="12"/>
    <x v="47"/>
    <x v="0"/>
    <x v="0"/>
    <x v="0"/>
    <x v="0"/>
    <s v="No"/>
    <n v="0"/>
    <n v="54095"/>
  </r>
  <r>
    <n v="60000180"/>
    <x v="7"/>
    <x v="0"/>
    <x v="1"/>
    <x v="11"/>
    <s v="Asistio "/>
    <n v="33"/>
    <x v="1"/>
    <x v="15"/>
    <x v="1"/>
    <x v="43"/>
    <x v="0"/>
    <x v="0"/>
    <x v="0"/>
    <x v="0"/>
    <s v="Si"/>
    <n v="1"/>
    <n v="77038"/>
  </r>
  <r>
    <n v="60000181"/>
    <x v="17"/>
    <x v="1"/>
    <x v="0"/>
    <x v="0"/>
    <s v="Asistio "/>
    <n v="12"/>
    <x v="2"/>
    <x v="15"/>
    <x v="0"/>
    <x v="35"/>
    <x v="0"/>
    <x v="0"/>
    <x v="0"/>
    <x v="0"/>
    <s v="No"/>
    <n v="0"/>
    <n v="51058"/>
  </r>
  <r>
    <n v="60000182"/>
    <x v="21"/>
    <x v="0"/>
    <x v="1"/>
    <x v="11"/>
    <s v="Asistio "/>
    <n v="11"/>
    <x v="4"/>
    <x v="16"/>
    <x v="0"/>
    <x v="43"/>
    <x v="0"/>
    <x v="0"/>
    <x v="0"/>
    <x v="0"/>
    <s v="No"/>
    <n v="0"/>
    <n v="84183"/>
  </r>
  <r>
    <n v="60000183"/>
    <x v="4"/>
    <x v="0"/>
    <x v="0"/>
    <x v="3"/>
    <s v="Asistio "/>
    <n v="33"/>
    <x v="1"/>
    <x v="0"/>
    <x v="12"/>
    <x v="35"/>
    <x v="0"/>
    <x v="0"/>
    <x v="0"/>
    <x v="0"/>
    <s v="No"/>
    <n v="0"/>
    <n v="48307"/>
  </r>
  <r>
    <n v="60000184"/>
    <x v="41"/>
    <x v="1"/>
    <x v="0"/>
    <x v="8"/>
    <s v="Asistio "/>
    <n v="25"/>
    <x v="3"/>
    <x v="7"/>
    <x v="4"/>
    <x v="10"/>
    <x v="0"/>
    <x v="0"/>
    <x v="0"/>
    <x v="0"/>
    <s v="Si"/>
    <n v="1"/>
    <n v="26567"/>
  </r>
  <r>
    <n v="60000185"/>
    <x v="44"/>
    <x v="1"/>
    <x v="1"/>
    <x v="7"/>
    <s v="Asistio "/>
    <n v="37"/>
    <x v="1"/>
    <x v="7"/>
    <x v="12"/>
    <x v="1"/>
    <x v="0"/>
    <x v="0"/>
    <x v="0"/>
    <x v="0"/>
    <s v="Si"/>
    <n v="0"/>
    <n v="60974"/>
  </r>
  <r>
    <n v="60000186"/>
    <x v="1"/>
    <x v="1"/>
    <x v="0"/>
    <x v="2"/>
    <s v="Asistio "/>
    <n v="16"/>
    <x v="2"/>
    <x v="6"/>
    <x v="4"/>
    <x v="8"/>
    <x v="0"/>
    <x v="0"/>
    <x v="0"/>
    <x v="0"/>
    <s v="Si"/>
    <n v="2"/>
    <n v="42439"/>
  </r>
  <r>
    <n v="60000187"/>
    <x v="26"/>
    <x v="1"/>
    <x v="0"/>
    <x v="1"/>
    <s v="Asistio "/>
    <n v="38"/>
    <x v="1"/>
    <x v="13"/>
    <x v="7"/>
    <x v="44"/>
    <x v="0"/>
    <x v="0"/>
    <x v="0"/>
    <x v="0"/>
    <s v="No"/>
    <n v="0"/>
    <n v="55285"/>
  </r>
  <r>
    <n v="60000188"/>
    <x v="10"/>
    <x v="1"/>
    <x v="1"/>
    <x v="1"/>
    <s v="Asistio "/>
    <n v="17"/>
    <x v="2"/>
    <x v="8"/>
    <x v="4"/>
    <x v="13"/>
    <x v="0"/>
    <x v="0"/>
    <x v="0"/>
    <x v="0"/>
    <s v="Si"/>
    <n v="4"/>
    <n v="53544"/>
  </r>
  <r>
    <n v="60000189"/>
    <x v="35"/>
    <x v="1"/>
    <x v="0"/>
    <x v="0"/>
    <s v="Asistio "/>
    <n v="26"/>
    <x v="3"/>
    <x v="12"/>
    <x v="1"/>
    <x v="36"/>
    <x v="0"/>
    <x v="0"/>
    <x v="0"/>
    <x v="0"/>
    <s v="Si"/>
    <n v="7"/>
    <n v="73705"/>
  </r>
  <r>
    <n v="60000190"/>
    <x v="15"/>
    <x v="0"/>
    <x v="1"/>
    <x v="10"/>
    <s v="Asistio "/>
    <n v="19"/>
    <x v="0"/>
    <x v="5"/>
    <x v="0"/>
    <x v="30"/>
    <x v="0"/>
    <x v="0"/>
    <x v="0"/>
    <x v="0"/>
    <s v="No"/>
    <n v="0"/>
    <n v="45558"/>
  </r>
  <r>
    <n v="60000191"/>
    <x v="23"/>
    <x v="1"/>
    <x v="0"/>
    <x v="10"/>
    <s v="Asistio "/>
    <n v="22"/>
    <x v="0"/>
    <x v="7"/>
    <x v="6"/>
    <x v="13"/>
    <x v="0"/>
    <x v="0"/>
    <x v="0"/>
    <x v="0"/>
    <s v="No"/>
    <n v="0"/>
    <n v="52826"/>
  </r>
  <r>
    <n v="60000192"/>
    <x v="44"/>
    <x v="0"/>
    <x v="0"/>
    <x v="5"/>
    <s v="Asistio "/>
    <n v="23"/>
    <x v="0"/>
    <x v="10"/>
    <x v="6"/>
    <x v="23"/>
    <x v="0"/>
    <x v="0"/>
    <x v="0"/>
    <x v="0"/>
    <s v="Si"/>
    <n v="1"/>
    <n v="82293"/>
  </r>
  <r>
    <n v="60000193"/>
    <x v="30"/>
    <x v="1"/>
    <x v="1"/>
    <x v="3"/>
    <s v="Asistio "/>
    <n v="21"/>
    <x v="0"/>
    <x v="2"/>
    <x v="0"/>
    <x v="26"/>
    <x v="0"/>
    <x v="0"/>
    <x v="0"/>
    <x v="0"/>
    <s v="No"/>
    <n v="0"/>
    <n v="40443"/>
  </r>
  <r>
    <n v="60000194"/>
    <x v="30"/>
    <x v="0"/>
    <x v="0"/>
    <x v="3"/>
    <s v="Asistio "/>
    <n v="18"/>
    <x v="2"/>
    <x v="15"/>
    <x v="2"/>
    <x v="36"/>
    <x v="0"/>
    <x v="0"/>
    <x v="0"/>
    <x v="0"/>
    <s v="No"/>
    <n v="0"/>
    <n v="43835"/>
  </r>
  <r>
    <n v="60000195"/>
    <x v="32"/>
    <x v="1"/>
    <x v="0"/>
    <x v="3"/>
    <s v="Asistio "/>
    <n v="30"/>
    <x v="3"/>
    <x v="16"/>
    <x v="6"/>
    <x v="13"/>
    <x v="0"/>
    <x v="0"/>
    <x v="0"/>
    <x v="0"/>
    <s v="Si"/>
    <n v="3"/>
    <n v="49676"/>
  </r>
  <r>
    <n v="60000196"/>
    <x v="45"/>
    <x v="1"/>
    <x v="0"/>
    <x v="4"/>
    <s v="Asistio "/>
    <n v="16"/>
    <x v="2"/>
    <x v="0"/>
    <x v="9"/>
    <x v="38"/>
    <x v="0"/>
    <x v="0"/>
    <x v="0"/>
    <x v="0"/>
    <s v="No"/>
    <n v="0"/>
    <n v="58756"/>
  </r>
  <r>
    <n v="60000197"/>
    <x v="19"/>
    <x v="1"/>
    <x v="0"/>
    <x v="0"/>
    <s v="Asistio "/>
    <n v="22"/>
    <x v="0"/>
    <x v="6"/>
    <x v="0"/>
    <x v="40"/>
    <x v="0"/>
    <x v="0"/>
    <x v="0"/>
    <x v="0"/>
    <s v="No"/>
    <n v="0"/>
    <n v="44749"/>
  </r>
  <r>
    <n v="60000198"/>
    <x v="12"/>
    <x v="0"/>
    <x v="0"/>
    <x v="8"/>
    <s v="Asistio "/>
    <n v="30"/>
    <x v="3"/>
    <x v="8"/>
    <x v="5"/>
    <x v="3"/>
    <x v="0"/>
    <x v="0"/>
    <x v="0"/>
    <x v="0"/>
    <s v="Si"/>
    <n v="0"/>
    <n v="51884"/>
  </r>
  <r>
    <n v="60000199"/>
    <x v="15"/>
    <x v="0"/>
    <x v="0"/>
    <x v="4"/>
    <s v="Asistio "/>
    <n v="33"/>
    <x v="1"/>
    <x v="4"/>
    <x v="3"/>
    <x v="9"/>
    <x v="0"/>
    <x v="0"/>
    <x v="0"/>
    <x v="0"/>
    <s v="No"/>
    <n v="0"/>
    <n v="50267"/>
  </r>
  <r>
    <n v="60000200"/>
    <x v="13"/>
    <x v="1"/>
    <x v="1"/>
    <x v="7"/>
    <s v="Asistio "/>
    <n v="25"/>
    <x v="3"/>
    <x v="1"/>
    <x v="6"/>
    <x v="1"/>
    <x v="0"/>
    <x v="0"/>
    <x v="0"/>
    <x v="0"/>
    <s v="No"/>
    <n v="0"/>
    <n v="31636"/>
  </r>
  <r>
    <n v="60000201"/>
    <x v="10"/>
    <x v="1"/>
    <x v="0"/>
    <x v="5"/>
    <s v="Asistio "/>
    <n v="25"/>
    <x v="3"/>
    <x v="2"/>
    <x v="8"/>
    <x v="8"/>
    <x v="0"/>
    <x v="0"/>
    <x v="0"/>
    <x v="0"/>
    <s v="Si"/>
    <n v="3"/>
    <n v="77924"/>
  </r>
  <r>
    <n v="60000202"/>
    <x v="23"/>
    <x v="1"/>
    <x v="0"/>
    <x v="10"/>
    <s v="Asistio "/>
    <n v="12"/>
    <x v="2"/>
    <x v="6"/>
    <x v="5"/>
    <x v="1"/>
    <x v="0"/>
    <x v="0"/>
    <x v="0"/>
    <x v="0"/>
    <s v="Si"/>
    <n v="0"/>
    <n v="35126"/>
  </r>
  <r>
    <n v="60000203"/>
    <x v="4"/>
    <x v="1"/>
    <x v="0"/>
    <x v="3"/>
    <s v="Asistio "/>
    <n v="10"/>
    <x v="4"/>
    <x v="5"/>
    <x v="4"/>
    <x v="16"/>
    <x v="0"/>
    <x v="0"/>
    <x v="0"/>
    <x v="0"/>
    <s v="Si"/>
    <n v="2"/>
    <n v="74576"/>
  </r>
  <r>
    <n v="60000204"/>
    <x v="5"/>
    <x v="0"/>
    <x v="1"/>
    <x v="4"/>
    <s v="Asistio "/>
    <n v="31"/>
    <x v="3"/>
    <x v="15"/>
    <x v="1"/>
    <x v="28"/>
    <x v="0"/>
    <x v="0"/>
    <x v="0"/>
    <x v="0"/>
    <s v="No"/>
    <n v="0"/>
    <n v="42426"/>
  </r>
  <r>
    <n v="60000205"/>
    <x v="43"/>
    <x v="1"/>
    <x v="1"/>
    <x v="2"/>
    <s v="Asistio "/>
    <n v="20"/>
    <x v="0"/>
    <x v="14"/>
    <x v="6"/>
    <x v="38"/>
    <x v="0"/>
    <x v="0"/>
    <x v="0"/>
    <x v="0"/>
    <s v="No"/>
    <n v="0"/>
    <n v="41369"/>
  </r>
  <r>
    <n v="60000206"/>
    <x v="41"/>
    <x v="0"/>
    <x v="0"/>
    <x v="3"/>
    <s v="Asistio "/>
    <n v="29"/>
    <x v="3"/>
    <x v="4"/>
    <x v="0"/>
    <x v="48"/>
    <x v="0"/>
    <x v="0"/>
    <x v="0"/>
    <x v="0"/>
    <s v="Si"/>
    <n v="2"/>
    <n v="80132"/>
  </r>
  <r>
    <n v="60000207"/>
    <x v="35"/>
    <x v="1"/>
    <x v="0"/>
    <x v="10"/>
    <s v="Asistio "/>
    <n v="17"/>
    <x v="2"/>
    <x v="3"/>
    <x v="8"/>
    <x v="21"/>
    <x v="0"/>
    <x v="0"/>
    <x v="0"/>
    <x v="0"/>
    <s v="No"/>
    <n v="0"/>
    <n v="54339"/>
  </r>
  <r>
    <n v="60000208"/>
    <x v="34"/>
    <x v="0"/>
    <x v="1"/>
    <x v="2"/>
    <s v="Asistio "/>
    <n v="34"/>
    <x v="1"/>
    <x v="0"/>
    <x v="1"/>
    <x v="41"/>
    <x v="0"/>
    <x v="0"/>
    <x v="0"/>
    <x v="0"/>
    <s v="Si"/>
    <n v="2"/>
    <n v="29293"/>
  </r>
  <r>
    <n v="60000209"/>
    <x v="13"/>
    <x v="0"/>
    <x v="0"/>
    <x v="8"/>
    <s v="Asistio "/>
    <n v="35"/>
    <x v="1"/>
    <x v="13"/>
    <x v="1"/>
    <x v="13"/>
    <x v="0"/>
    <x v="0"/>
    <x v="0"/>
    <x v="0"/>
    <s v="Si"/>
    <n v="2"/>
    <n v="49172"/>
  </r>
  <r>
    <n v="60000210"/>
    <x v="18"/>
    <x v="1"/>
    <x v="0"/>
    <x v="2"/>
    <s v="Asistio "/>
    <n v="25"/>
    <x v="3"/>
    <x v="14"/>
    <x v="4"/>
    <x v="12"/>
    <x v="0"/>
    <x v="0"/>
    <x v="0"/>
    <x v="0"/>
    <s v="Si"/>
    <n v="1"/>
    <n v="56939"/>
  </r>
  <r>
    <n v="60000211"/>
    <x v="40"/>
    <x v="1"/>
    <x v="1"/>
    <x v="0"/>
    <s v="Asistio "/>
    <n v="13"/>
    <x v="2"/>
    <x v="16"/>
    <x v="1"/>
    <x v="46"/>
    <x v="0"/>
    <x v="0"/>
    <x v="0"/>
    <x v="0"/>
    <s v="Si"/>
    <n v="6"/>
    <n v="68211"/>
  </r>
  <r>
    <n v="60000212"/>
    <x v="39"/>
    <x v="1"/>
    <x v="0"/>
    <x v="5"/>
    <s v="Asistio "/>
    <n v="30"/>
    <x v="3"/>
    <x v="8"/>
    <x v="8"/>
    <x v="46"/>
    <x v="0"/>
    <x v="0"/>
    <x v="0"/>
    <x v="0"/>
    <s v="Si"/>
    <n v="3"/>
    <n v="28402"/>
  </r>
  <r>
    <n v="60000213"/>
    <x v="32"/>
    <x v="0"/>
    <x v="0"/>
    <x v="0"/>
    <s v="Asistio "/>
    <n v="31"/>
    <x v="3"/>
    <x v="12"/>
    <x v="4"/>
    <x v="26"/>
    <x v="0"/>
    <x v="0"/>
    <x v="0"/>
    <x v="0"/>
    <s v="Si"/>
    <n v="7"/>
    <n v="55637"/>
  </r>
  <r>
    <n v="60000214"/>
    <x v="10"/>
    <x v="1"/>
    <x v="0"/>
    <x v="0"/>
    <s v="Asistio "/>
    <n v="29"/>
    <x v="3"/>
    <x v="12"/>
    <x v="0"/>
    <x v="15"/>
    <x v="0"/>
    <x v="0"/>
    <x v="0"/>
    <x v="0"/>
    <s v="Si"/>
    <n v="7"/>
    <n v="60695"/>
  </r>
  <r>
    <n v="60000215"/>
    <x v="9"/>
    <x v="0"/>
    <x v="1"/>
    <x v="8"/>
    <s v="Asistio "/>
    <n v="35"/>
    <x v="1"/>
    <x v="7"/>
    <x v="5"/>
    <x v="35"/>
    <x v="0"/>
    <x v="0"/>
    <x v="0"/>
    <x v="0"/>
    <s v="No"/>
    <n v="0"/>
    <n v="48064"/>
  </r>
  <r>
    <n v="60000216"/>
    <x v="12"/>
    <x v="0"/>
    <x v="1"/>
    <x v="4"/>
    <s v="Asistio "/>
    <n v="37"/>
    <x v="1"/>
    <x v="6"/>
    <x v="5"/>
    <x v="22"/>
    <x v="0"/>
    <x v="0"/>
    <x v="0"/>
    <x v="0"/>
    <s v="No"/>
    <n v="0"/>
    <n v="65535"/>
  </r>
  <r>
    <n v="60000217"/>
    <x v="39"/>
    <x v="0"/>
    <x v="1"/>
    <x v="7"/>
    <s v="Asistio "/>
    <n v="21"/>
    <x v="0"/>
    <x v="0"/>
    <x v="10"/>
    <x v="1"/>
    <x v="0"/>
    <x v="0"/>
    <x v="0"/>
    <x v="0"/>
    <s v="Si"/>
    <n v="5"/>
    <n v="29266"/>
  </r>
  <r>
    <n v="60000218"/>
    <x v="1"/>
    <x v="1"/>
    <x v="0"/>
    <x v="4"/>
    <s v="Asistio "/>
    <n v="32"/>
    <x v="1"/>
    <x v="15"/>
    <x v="3"/>
    <x v="6"/>
    <x v="0"/>
    <x v="0"/>
    <x v="0"/>
    <x v="0"/>
    <s v="Si"/>
    <n v="2"/>
    <n v="45406"/>
  </r>
  <r>
    <n v="60000219"/>
    <x v="16"/>
    <x v="0"/>
    <x v="1"/>
    <x v="4"/>
    <s v="Asistio "/>
    <n v="19"/>
    <x v="0"/>
    <x v="6"/>
    <x v="6"/>
    <x v="28"/>
    <x v="0"/>
    <x v="0"/>
    <x v="0"/>
    <x v="0"/>
    <s v="No"/>
    <n v="0"/>
    <n v="41428"/>
  </r>
  <r>
    <n v="60000220"/>
    <x v="10"/>
    <x v="0"/>
    <x v="0"/>
    <x v="1"/>
    <s v="Asistio "/>
    <n v="27"/>
    <x v="3"/>
    <x v="1"/>
    <x v="12"/>
    <x v="37"/>
    <x v="0"/>
    <x v="0"/>
    <x v="0"/>
    <x v="0"/>
    <s v="No"/>
    <n v="0"/>
    <n v="73750"/>
  </r>
  <r>
    <n v="60000221"/>
    <x v="11"/>
    <x v="0"/>
    <x v="1"/>
    <x v="6"/>
    <s v="Asistio "/>
    <n v="14"/>
    <x v="2"/>
    <x v="13"/>
    <x v="10"/>
    <x v="18"/>
    <x v="0"/>
    <x v="0"/>
    <x v="0"/>
    <x v="0"/>
    <s v="Si"/>
    <n v="2"/>
    <n v="72331"/>
  </r>
  <r>
    <n v="60000222"/>
    <x v="10"/>
    <x v="1"/>
    <x v="0"/>
    <x v="8"/>
    <s v="Asistio "/>
    <n v="20"/>
    <x v="0"/>
    <x v="16"/>
    <x v="12"/>
    <x v="8"/>
    <x v="0"/>
    <x v="0"/>
    <x v="0"/>
    <x v="0"/>
    <s v="No"/>
    <n v="0"/>
    <n v="35213"/>
  </r>
  <r>
    <n v="60000223"/>
    <x v="31"/>
    <x v="0"/>
    <x v="1"/>
    <x v="3"/>
    <s v="Asistio "/>
    <n v="13"/>
    <x v="2"/>
    <x v="14"/>
    <x v="12"/>
    <x v="12"/>
    <x v="0"/>
    <x v="0"/>
    <x v="0"/>
    <x v="0"/>
    <s v="Si"/>
    <n v="4"/>
    <n v="82583"/>
  </r>
  <r>
    <n v="60000224"/>
    <x v="6"/>
    <x v="0"/>
    <x v="0"/>
    <x v="0"/>
    <s v="Asistio "/>
    <n v="29"/>
    <x v="3"/>
    <x v="5"/>
    <x v="4"/>
    <x v="34"/>
    <x v="0"/>
    <x v="0"/>
    <x v="0"/>
    <x v="0"/>
    <s v="Si"/>
    <n v="2"/>
    <n v="80511"/>
  </r>
  <r>
    <n v="60000225"/>
    <x v="23"/>
    <x v="1"/>
    <x v="0"/>
    <x v="5"/>
    <s v="Asistio "/>
    <n v="35"/>
    <x v="1"/>
    <x v="12"/>
    <x v="0"/>
    <x v="16"/>
    <x v="0"/>
    <x v="0"/>
    <x v="0"/>
    <x v="0"/>
    <s v="Si"/>
    <n v="0"/>
    <n v="62373"/>
  </r>
  <r>
    <n v="60000226"/>
    <x v="40"/>
    <x v="0"/>
    <x v="1"/>
    <x v="5"/>
    <s v="Asistio "/>
    <n v="38"/>
    <x v="1"/>
    <x v="5"/>
    <x v="7"/>
    <x v="47"/>
    <x v="0"/>
    <x v="0"/>
    <x v="0"/>
    <x v="0"/>
    <s v="Si"/>
    <n v="3"/>
    <n v="67931"/>
  </r>
  <r>
    <n v="60000227"/>
    <x v="23"/>
    <x v="1"/>
    <x v="0"/>
    <x v="5"/>
    <s v="Asistio "/>
    <n v="32"/>
    <x v="1"/>
    <x v="9"/>
    <x v="11"/>
    <x v="30"/>
    <x v="0"/>
    <x v="0"/>
    <x v="0"/>
    <x v="0"/>
    <s v="No"/>
    <n v="0"/>
    <n v="64359"/>
  </r>
  <r>
    <n v="60000228"/>
    <x v="17"/>
    <x v="1"/>
    <x v="0"/>
    <x v="5"/>
    <s v="Asistio "/>
    <n v="11"/>
    <x v="4"/>
    <x v="8"/>
    <x v="12"/>
    <x v="44"/>
    <x v="0"/>
    <x v="0"/>
    <x v="0"/>
    <x v="0"/>
    <s v="Si"/>
    <n v="7"/>
    <n v="63840"/>
  </r>
  <r>
    <n v="60000229"/>
    <x v="9"/>
    <x v="0"/>
    <x v="0"/>
    <x v="0"/>
    <s v="Asistio "/>
    <n v="16"/>
    <x v="2"/>
    <x v="3"/>
    <x v="9"/>
    <x v="46"/>
    <x v="0"/>
    <x v="0"/>
    <x v="0"/>
    <x v="0"/>
    <s v="Si"/>
    <n v="4"/>
    <n v="72038"/>
  </r>
  <r>
    <n v="60000230"/>
    <x v="23"/>
    <x v="0"/>
    <x v="0"/>
    <x v="6"/>
    <s v="Asistio "/>
    <n v="29"/>
    <x v="3"/>
    <x v="1"/>
    <x v="3"/>
    <x v="41"/>
    <x v="0"/>
    <x v="0"/>
    <x v="0"/>
    <x v="0"/>
    <s v="Si"/>
    <n v="4"/>
    <n v="26811"/>
  </r>
  <r>
    <n v="60000231"/>
    <x v="5"/>
    <x v="0"/>
    <x v="0"/>
    <x v="0"/>
    <s v="Asistio "/>
    <n v="24"/>
    <x v="0"/>
    <x v="16"/>
    <x v="4"/>
    <x v="1"/>
    <x v="0"/>
    <x v="0"/>
    <x v="0"/>
    <x v="0"/>
    <s v="Si"/>
    <n v="0"/>
    <n v="23963"/>
  </r>
  <r>
    <n v="60000232"/>
    <x v="30"/>
    <x v="1"/>
    <x v="1"/>
    <x v="6"/>
    <s v="Asistio "/>
    <n v="31"/>
    <x v="3"/>
    <x v="8"/>
    <x v="0"/>
    <x v="26"/>
    <x v="0"/>
    <x v="0"/>
    <x v="0"/>
    <x v="0"/>
    <s v="No"/>
    <n v="0"/>
    <n v="32293"/>
  </r>
  <r>
    <n v="60000233"/>
    <x v="20"/>
    <x v="0"/>
    <x v="0"/>
    <x v="2"/>
    <s v="Asistio "/>
    <n v="19"/>
    <x v="0"/>
    <x v="6"/>
    <x v="7"/>
    <x v="13"/>
    <x v="0"/>
    <x v="0"/>
    <x v="0"/>
    <x v="0"/>
    <s v="Si"/>
    <n v="1"/>
    <n v="69178"/>
  </r>
  <r>
    <n v="60000234"/>
    <x v="29"/>
    <x v="0"/>
    <x v="1"/>
    <x v="1"/>
    <s v="Asistio "/>
    <n v="25"/>
    <x v="3"/>
    <x v="13"/>
    <x v="12"/>
    <x v="5"/>
    <x v="0"/>
    <x v="0"/>
    <x v="0"/>
    <x v="0"/>
    <s v="Si"/>
    <n v="1"/>
    <n v="52660"/>
  </r>
  <r>
    <n v="60000235"/>
    <x v="22"/>
    <x v="1"/>
    <x v="1"/>
    <x v="3"/>
    <s v="Asistio "/>
    <n v="27"/>
    <x v="3"/>
    <x v="10"/>
    <x v="1"/>
    <x v="16"/>
    <x v="0"/>
    <x v="0"/>
    <x v="0"/>
    <x v="0"/>
    <s v="No"/>
    <n v="0"/>
    <n v="40589"/>
  </r>
  <r>
    <n v="60000236"/>
    <x v="33"/>
    <x v="1"/>
    <x v="1"/>
    <x v="8"/>
    <s v="Asistio "/>
    <n v="10"/>
    <x v="4"/>
    <x v="2"/>
    <x v="4"/>
    <x v="19"/>
    <x v="0"/>
    <x v="0"/>
    <x v="0"/>
    <x v="0"/>
    <s v="Si"/>
    <n v="5"/>
    <n v="35339"/>
  </r>
  <r>
    <n v="60000237"/>
    <x v="16"/>
    <x v="1"/>
    <x v="1"/>
    <x v="2"/>
    <s v="Asistio "/>
    <n v="15"/>
    <x v="2"/>
    <x v="4"/>
    <x v="3"/>
    <x v="23"/>
    <x v="0"/>
    <x v="0"/>
    <x v="0"/>
    <x v="0"/>
    <s v="No"/>
    <n v="0"/>
    <n v="31305"/>
  </r>
  <r>
    <n v="60000238"/>
    <x v="25"/>
    <x v="0"/>
    <x v="1"/>
    <x v="11"/>
    <s v="Asistio "/>
    <n v="38"/>
    <x v="1"/>
    <x v="4"/>
    <x v="3"/>
    <x v="8"/>
    <x v="0"/>
    <x v="0"/>
    <x v="0"/>
    <x v="0"/>
    <s v="Si"/>
    <n v="0"/>
    <n v="42758"/>
  </r>
  <r>
    <n v="60000239"/>
    <x v="20"/>
    <x v="0"/>
    <x v="1"/>
    <x v="2"/>
    <s v="Asistio "/>
    <n v="12"/>
    <x v="2"/>
    <x v="8"/>
    <x v="3"/>
    <x v="35"/>
    <x v="1"/>
    <x v="0"/>
    <x v="0"/>
    <x v="0"/>
    <s v="No"/>
    <n v="0"/>
    <n v="52307"/>
  </r>
  <r>
    <n v="60000240"/>
    <x v="29"/>
    <x v="0"/>
    <x v="1"/>
    <x v="7"/>
    <s v="Asistio "/>
    <n v="36"/>
    <x v="1"/>
    <x v="14"/>
    <x v="5"/>
    <x v="48"/>
    <x v="2"/>
    <x v="0"/>
    <x v="0"/>
    <x v="0"/>
    <s v="No"/>
    <n v="0"/>
    <n v="27291"/>
  </r>
  <r>
    <n v="60000241"/>
    <x v="21"/>
    <x v="0"/>
    <x v="0"/>
    <x v="8"/>
    <s v="Asistio "/>
    <n v="14"/>
    <x v="2"/>
    <x v="1"/>
    <x v="11"/>
    <x v="4"/>
    <x v="0"/>
    <x v="0"/>
    <x v="0"/>
    <x v="0"/>
    <s v="Si"/>
    <n v="3"/>
    <n v="33519"/>
  </r>
  <r>
    <n v="60000242"/>
    <x v="31"/>
    <x v="0"/>
    <x v="0"/>
    <x v="5"/>
    <s v="Asistio "/>
    <n v="11"/>
    <x v="4"/>
    <x v="9"/>
    <x v="12"/>
    <x v="31"/>
    <x v="2"/>
    <x v="1"/>
    <x v="1"/>
    <x v="0"/>
    <s v="No"/>
    <n v="0"/>
    <n v="36838"/>
  </r>
  <r>
    <n v="60000243"/>
    <x v="28"/>
    <x v="1"/>
    <x v="0"/>
    <x v="5"/>
    <s v="Asistio "/>
    <n v="14"/>
    <x v="2"/>
    <x v="4"/>
    <x v="4"/>
    <x v="16"/>
    <x v="1"/>
    <x v="1"/>
    <x v="0"/>
    <x v="1"/>
    <s v="Si"/>
    <n v="7"/>
    <n v="71082"/>
  </r>
  <r>
    <n v="60000244"/>
    <x v="7"/>
    <x v="0"/>
    <x v="0"/>
    <x v="3"/>
    <s v="Asistio "/>
    <n v="27"/>
    <x v="3"/>
    <x v="1"/>
    <x v="9"/>
    <x v="39"/>
    <x v="1"/>
    <x v="0"/>
    <x v="0"/>
    <x v="1"/>
    <s v="No"/>
    <n v="0"/>
    <n v="50431"/>
  </r>
  <r>
    <n v="60000245"/>
    <x v="5"/>
    <x v="1"/>
    <x v="0"/>
    <x v="1"/>
    <s v="Asistio "/>
    <n v="10"/>
    <x v="4"/>
    <x v="16"/>
    <x v="3"/>
    <x v="23"/>
    <x v="2"/>
    <x v="0"/>
    <x v="1"/>
    <x v="0"/>
    <s v="Si"/>
    <n v="5"/>
    <n v="27793"/>
  </r>
  <r>
    <n v="60000246"/>
    <x v="23"/>
    <x v="0"/>
    <x v="0"/>
    <x v="3"/>
    <s v="Asistio "/>
    <n v="11"/>
    <x v="4"/>
    <x v="6"/>
    <x v="4"/>
    <x v="0"/>
    <x v="1"/>
    <x v="0"/>
    <x v="1"/>
    <x v="1"/>
    <s v="Si"/>
    <n v="6"/>
    <n v="53157"/>
  </r>
  <r>
    <n v="60000247"/>
    <x v="27"/>
    <x v="1"/>
    <x v="0"/>
    <x v="8"/>
    <s v="Asistio "/>
    <n v="35"/>
    <x v="1"/>
    <x v="7"/>
    <x v="2"/>
    <x v="44"/>
    <x v="0"/>
    <x v="0"/>
    <x v="1"/>
    <x v="0"/>
    <s v="Si"/>
    <n v="0"/>
    <n v="62433"/>
  </r>
  <r>
    <n v="60000248"/>
    <x v="22"/>
    <x v="0"/>
    <x v="0"/>
    <x v="4"/>
    <s v="Asistio "/>
    <n v="30"/>
    <x v="3"/>
    <x v="15"/>
    <x v="4"/>
    <x v="17"/>
    <x v="2"/>
    <x v="0"/>
    <x v="0"/>
    <x v="0"/>
    <s v="No"/>
    <n v="0"/>
    <n v="25103"/>
  </r>
  <r>
    <n v="60000249"/>
    <x v="0"/>
    <x v="0"/>
    <x v="0"/>
    <x v="11"/>
    <s v="Asistio "/>
    <n v="34"/>
    <x v="1"/>
    <x v="15"/>
    <x v="4"/>
    <x v="1"/>
    <x v="1"/>
    <x v="1"/>
    <x v="0"/>
    <x v="1"/>
    <s v="No"/>
    <n v="0"/>
    <n v="36428"/>
  </r>
  <r>
    <n v="60000250"/>
    <x v="24"/>
    <x v="1"/>
    <x v="0"/>
    <x v="8"/>
    <s v="Asistio "/>
    <n v="19"/>
    <x v="0"/>
    <x v="8"/>
    <x v="6"/>
    <x v="20"/>
    <x v="1"/>
    <x v="0"/>
    <x v="1"/>
    <x v="0"/>
    <s v="Si"/>
    <n v="2"/>
    <n v="44679"/>
  </r>
  <r>
    <n v="60000251"/>
    <x v="23"/>
    <x v="0"/>
    <x v="1"/>
    <x v="0"/>
    <s v="Asistio "/>
    <n v="21"/>
    <x v="0"/>
    <x v="14"/>
    <x v="1"/>
    <x v="11"/>
    <x v="2"/>
    <x v="1"/>
    <x v="1"/>
    <x v="0"/>
    <s v="No"/>
    <n v="0"/>
    <n v="60136"/>
  </r>
  <r>
    <n v="60000252"/>
    <x v="38"/>
    <x v="0"/>
    <x v="1"/>
    <x v="0"/>
    <s v="Asistio "/>
    <n v="20"/>
    <x v="0"/>
    <x v="16"/>
    <x v="11"/>
    <x v="1"/>
    <x v="0"/>
    <x v="0"/>
    <x v="1"/>
    <x v="1"/>
    <s v="No"/>
    <n v="0"/>
    <n v="45590"/>
  </r>
  <r>
    <n v="60000253"/>
    <x v="10"/>
    <x v="0"/>
    <x v="0"/>
    <x v="3"/>
    <s v="Asistio "/>
    <n v="19"/>
    <x v="0"/>
    <x v="9"/>
    <x v="10"/>
    <x v="23"/>
    <x v="2"/>
    <x v="1"/>
    <x v="0"/>
    <x v="1"/>
    <s v="Si"/>
    <n v="3"/>
    <n v="38361"/>
  </r>
  <r>
    <n v="60000254"/>
    <x v="37"/>
    <x v="1"/>
    <x v="0"/>
    <x v="9"/>
    <s v="Asistio "/>
    <n v="35"/>
    <x v="1"/>
    <x v="12"/>
    <x v="12"/>
    <x v="16"/>
    <x v="2"/>
    <x v="1"/>
    <x v="1"/>
    <x v="0"/>
    <s v="No"/>
    <n v="0"/>
    <n v="42979"/>
  </r>
  <r>
    <n v="60000255"/>
    <x v="32"/>
    <x v="0"/>
    <x v="1"/>
    <x v="1"/>
    <s v="Asistio "/>
    <n v="36"/>
    <x v="1"/>
    <x v="3"/>
    <x v="12"/>
    <x v="26"/>
    <x v="1"/>
    <x v="1"/>
    <x v="0"/>
    <x v="1"/>
    <s v="No"/>
    <n v="0"/>
    <n v="55189"/>
  </r>
  <r>
    <n v="60000256"/>
    <x v="12"/>
    <x v="0"/>
    <x v="0"/>
    <x v="6"/>
    <s v="Asistio "/>
    <n v="15"/>
    <x v="2"/>
    <x v="15"/>
    <x v="6"/>
    <x v="1"/>
    <x v="0"/>
    <x v="0"/>
    <x v="0"/>
    <x v="0"/>
    <s v="No"/>
    <n v="0"/>
    <n v="44547"/>
  </r>
  <r>
    <n v="60000257"/>
    <x v="31"/>
    <x v="1"/>
    <x v="1"/>
    <x v="0"/>
    <s v="Asistio "/>
    <n v="21"/>
    <x v="0"/>
    <x v="10"/>
    <x v="8"/>
    <x v="21"/>
    <x v="1"/>
    <x v="1"/>
    <x v="0"/>
    <x v="0"/>
    <s v="No"/>
    <n v="0"/>
    <n v="36625"/>
  </r>
  <r>
    <n v="60000258"/>
    <x v="20"/>
    <x v="0"/>
    <x v="0"/>
    <x v="11"/>
    <s v="Asistio "/>
    <n v="33"/>
    <x v="1"/>
    <x v="6"/>
    <x v="1"/>
    <x v="21"/>
    <x v="0"/>
    <x v="0"/>
    <x v="1"/>
    <x v="0"/>
    <s v="Si"/>
    <n v="4"/>
    <n v="51401"/>
  </r>
  <r>
    <n v="60000259"/>
    <x v="36"/>
    <x v="1"/>
    <x v="0"/>
    <x v="10"/>
    <s v="Asistio "/>
    <n v="12"/>
    <x v="2"/>
    <x v="2"/>
    <x v="5"/>
    <x v="17"/>
    <x v="0"/>
    <x v="0"/>
    <x v="1"/>
    <x v="1"/>
    <s v="Si"/>
    <n v="4"/>
    <n v="43733"/>
  </r>
  <r>
    <n v="60000260"/>
    <x v="42"/>
    <x v="0"/>
    <x v="0"/>
    <x v="4"/>
    <s v="Asistio "/>
    <n v="19"/>
    <x v="0"/>
    <x v="9"/>
    <x v="7"/>
    <x v="39"/>
    <x v="1"/>
    <x v="0"/>
    <x v="0"/>
    <x v="0"/>
    <s v="Si"/>
    <n v="0"/>
    <n v="52142"/>
  </r>
  <r>
    <n v="60000261"/>
    <x v="15"/>
    <x v="1"/>
    <x v="0"/>
    <x v="10"/>
    <s v="Asistio "/>
    <n v="25"/>
    <x v="3"/>
    <x v="4"/>
    <x v="4"/>
    <x v="48"/>
    <x v="2"/>
    <x v="1"/>
    <x v="0"/>
    <x v="0"/>
    <s v="Si"/>
    <n v="0"/>
    <n v="68355"/>
  </r>
  <r>
    <n v="60000262"/>
    <x v="36"/>
    <x v="0"/>
    <x v="0"/>
    <x v="4"/>
    <s v="Asistio "/>
    <n v="35"/>
    <x v="1"/>
    <x v="7"/>
    <x v="2"/>
    <x v="5"/>
    <x v="2"/>
    <x v="1"/>
    <x v="0"/>
    <x v="1"/>
    <s v="Si"/>
    <n v="6"/>
    <n v="64273"/>
  </r>
  <r>
    <n v="60000263"/>
    <x v="20"/>
    <x v="1"/>
    <x v="0"/>
    <x v="5"/>
    <s v="Asistio "/>
    <n v="23"/>
    <x v="0"/>
    <x v="5"/>
    <x v="10"/>
    <x v="36"/>
    <x v="0"/>
    <x v="1"/>
    <x v="0"/>
    <x v="1"/>
    <s v="No"/>
    <n v="0"/>
    <n v="73415"/>
  </r>
  <r>
    <n v="60000264"/>
    <x v="40"/>
    <x v="0"/>
    <x v="1"/>
    <x v="4"/>
    <s v="Asistio "/>
    <n v="32"/>
    <x v="1"/>
    <x v="2"/>
    <x v="1"/>
    <x v="14"/>
    <x v="1"/>
    <x v="0"/>
    <x v="0"/>
    <x v="0"/>
    <s v="Si"/>
    <n v="7"/>
    <n v="28009"/>
  </r>
  <r>
    <n v="60000265"/>
    <x v="16"/>
    <x v="0"/>
    <x v="0"/>
    <x v="6"/>
    <s v="Asistio "/>
    <n v="32"/>
    <x v="1"/>
    <x v="5"/>
    <x v="7"/>
    <x v="11"/>
    <x v="0"/>
    <x v="1"/>
    <x v="0"/>
    <x v="0"/>
    <s v="No"/>
    <n v="0"/>
    <n v="50117"/>
  </r>
  <r>
    <n v="60000266"/>
    <x v="18"/>
    <x v="1"/>
    <x v="1"/>
    <x v="9"/>
    <s v="Asistio "/>
    <n v="24"/>
    <x v="0"/>
    <x v="0"/>
    <x v="9"/>
    <x v="46"/>
    <x v="1"/>
    <x v="1"/>
    <x v="1"/>
    <x v="1"/>
    <s v="Si"/>
    <n v="5"/>
    <n v="73685"/>
  </r>
  <r>
    <n v="60000267"/>
    <x v="26"/>
    <x v="0"/>
    <x v="1"/>
    <x v="9"/>
    <s v="Asistio "/>
    <n v="19"/>
    <x v="0"/>
    <x v="0"/>
    <x v="0"/>
    <x v="27"/>
    <x v="1"/>
    <x v="1"/>
    <x v="1"/>
    <x v="1"/>
    <s v="Si"/>
    <n v="3"/>
    <n v="75872"/>
  </r>
  <r>
    <n v="60000268"/>
    <x v="35"/>
    <x v="1"/>
    <x v="0"/>
    <x v="7"/>
    <s v="Asistio "/>
    <n v="35"/>
    <x v="1"/>
    <x v="0"/>
    <x v="12"/>
    <x v="7"/>
    <x v="0"/>
    <x v="1"/>
    <x v="0"/>
    <x v="0"/>
    <s v="No"/>
    <n v="0"/>
    <n v="81531"/>
  </r>
  <r>
    <n v="60000269"/>
    <x v="15"/>
    <x v="1"/>
    <x v="1"/>
    <x v="2"/>
    <s v="Asistio "/>
    <n v="34"/>
    <x v="1"/>
    <x v="9"/>
    <x v="3"/>
    <x v="17"/>
    <x v="2"/>
    <x v="0"/>
    <x v="1"/>
    <x v="0"/>
    <s v="Si"/>
    <n v="5"/>
    <n v="74132"/>
  </r>
  <r>
    <n v="60000270"/>
    <x v="5"/>
    <x v="1"/>
    <x v="0"/>
    <x v="3"/>
    <s v="Asistio "/>
    <n v="33"/>
    <x v="1"/>
    <x v="14"/>
    <x v="3"/>
    <x v="34"/>
    <x v="2"/>
    <x v="0"/>
    <x v="0"/>
    <x v="0"/>
    <s v="Si"/>
    <n v="1"/>
    <n v="42932"/>
  </r>
  <r>
    <n v="60000271"/>
    <x v="24"/>
    <x v="1"/>
    <x v="1"/>
    <x v="7"/>
    <s v="Asistio "/>
    <n v="16"/>
    <x v="2"/>
    <x v="16"/>
    <x v="11"/>
    <x v="14"/>
    <x v="1"/>
    <x v="1"/>
    <x v="0"/>
    <x v="1"/>
    <s v="No"/>
    <n v="0"/>
    <n v="62947"/>
  </r>
  <r>
    <n v="60000272"/>
    <x v="41"/>
    <x v="1"/>
    <x v="0"/>
    <x v="3"/>
    <s v="Asistio "/>
    <n v="17"/>
    <x v="2"/>
    <x v="8"/>
    <x v="8"/>
    <x v="42"/>
    <x v="0"/>
    <x v="1"/>
    <x v="0"/>
    <x v="1"/>
    <s v="No"/>
    <n v="0"/>
    <n v="56032"/>
  </r>
  <r>
    <n v="60000273"/>
    <x v="25"/>
    <x v="1"/>
    <x v="1"/>
    <x v="3"/>
    <s v="Asistio "/>
    <n v="21"/>
    <x v="0"/>
    <x v="7"/>
    <x v="0"/>
    <x v="24"/>
    <x v="1"/>
    <x v="0"/>
    <x v="1"/>
    <x v="1"/>
    <s v="No"/>
    <n v="0"/>
    <n v="67233"/>
  </r>
  <r>
    <n v="60000274"/>
    <x v="37"/>
    <x v="0"/>
    <x v="1"/>
    <x v="10"/>
    <s v="Asistio "/>
    <n v="27"/>
    <x v="3"/>
    <x v="5"/>
    <x v="5"/>
    <x v="48"/>
    <x v="0"/>
    <x v="1"/>
    <x v="1"/>
    <x v="1"/>
    <s v="Si"/>
    <n v="6"/>
    <n v="42157"/>
  </r>
  <r>
    <n v="60000275"/>
    <x v="15"/>
    <x v="1"/>
    <x v="0"/>
    <x v="11"/>
    <s v="Asistio "/>
    <n v="35"/>
    <x v="1"/>
    <x v="6"/>
    <x v="1"/>
    <x v="44"/>
    <x v="1"/>
    <x v="0"/>
    <x v="1"/>
    <x v="0"/>
    <s v="Si"/>
    <n v="2"/>
    <n v="80127"/>
  </r>
  <r>
    <n v="60000276"/>
    <x v="4"/>
    <x v="1"/>
    <x v="0"/>
    <x v="0"/>
    <s v="Asistio "/>
    <n v="22"/>
    <x v="0"/>
    <x v="0"/>
    <x v="9"/>
    <x v="20"/>
    <x v="1"/>
    <x v="1"/>
    <x v="1"/>
    <x v="1"/>
    <s v="Si"/>
    <n v="5"/>
    <n v="63859"/>
  </r>
  <r>
    <n v="60000277"/>
    <x v="12"/>
    <x v="1"/>
    <x v="0"/>
    <x v="4"/>
    <s v="Asistio "/>
    <n v="19"/>
    <x v="0"/>
    <x v="0"/>
    <x v="2"/>
    <x v="39"/>
    <x v="1"/>
    <x v="0"/>
    <x v="0"/>
    <x v="1"/>
    <s v="Si"/>
    <n v="4"/>
    <n v="56370"/>
  </r>
  <r>
    <n v="60000278"/>
    <x v="40"/>
    <x v="0"/>
    <x v="1"/>
    <x v="11"/>
    <s v="Asistio "/>
    <n v="35"/>
    <x v="1"/>
    <x v="5"/>
    <x v="2"/>
    <x v="24"/>
    <x v="0"/>
    <x v="0"/>
    <x v="1"/>
    <x v="1"/>
    <s v="Si"/>
    <n v="4"/>
    <n v="45869"/>
  </r>
  <r>
    <n v="60000279"/>
    <x v="13"/>
    <x v="1"/>
    <x v="0"/>
    <x v="7"/>
    <s v="Asistio "/>
    <n v="28"/>
    <x v="3"/>
    <x v="15"/>
    <x v="1"/>
    <x v="28"/>
    <x v="0"/>
    <x v="0"/>
    <x v="0"/>
    <x v="1"/>
    <s v="Si"/>
    <n v="0"/>
    <n v="61650"/>
  </r>
  <r>
    <n v="60000280"/>
    <x v="7"/>
    <x v="0"/>
    <x v="1"/>
    <x v="8"/>
    <s v="Asistio "/>
    <n v="19"/>
    <x v="0"/>
    <x v="10"/>
    <x v="5"/>
    <x v="47"/>
    <x v="0"/>
    <x v="0"/>
    <x v="1"/>
    <x v="1"/>
    <s v="No"/>
    <n v="0"/>
    <n v="54763"/>
  </r>
  <r>
    <n v="60000281"/>
    <x v="39"/>
    <x v="0"/>
    <x v="0"/>
    <x v="6"/>
    <s v="Asistio "/>
    <n v="14"/>
    <x v="2"/>
    <x v="14"/>
    <x v="0"/>
    <x v="25"/>
    <x v="1"/>
    <x v="1"/>
    <x v="1"/>
    <x v="0"/>
    <s v="No"/>
    <n v="0"/>
    <n v="84890"/>
  </r>
  <r>
    <n v="60000282"/>
    <x v="27"/>
    <x v="1"/>
    <x v="0"/>
    <x v="5"/>
    <s v="Asistio "/>
    <n v="11"/>
    <x v="4"/>
    <x v="3"/>
    <x v="4"/>
    <x v="13"/>
    <x v="1"/>
    <x v="1"/>
    <x v="1"/>
    <x v="0"/>
    <s v="Si"/>
    <n v="6"/>
    <n v="62574"/>
  </r>
  <r>
    <n v="60000283"/>
    <x v="30"/>
    <x v="0"/>
    <x v="1"/>
    <x v="3"/>
    <s v="Asistio "/>
    <n v="37"/>
    <x v="1"/>
    <x v="10"/>
    <x v="4"/>
    <x v="0"/>
    <x v="0"/>
    <x v="1"/>
    <x v="0"/>
    <x v="1"/>
    <s v="No"/>
    <n v="0"/>
    <n v="25808"/>
  </r>
  <r>
    <n v="60000284"/>
    <x v="34"/>
    <x v="0"/>
    <x v="1"/>
    <x v="2"/>
    <s v="Asistio "/>
    <n v="16"/>
    <x v="2"/>
    <x v="10"/>
    <x v="5"/>
    <x v="19"/>
    <x v="1"/>
    <x v="0"/>
    <x v="1"/>
    <x v="0"/>
    <s v="No"/>
    <n v="0"/>
    <n v="40642"/>
  </r>
  <r>
    <n v="60000285"/>
    <x v="28"/>
    <x v="1"/>
    <x v="0"/>
    <x v="8"/>
    <s v="Asistio "/>
    <n v="19"/>
    <x v="0"/>
    <x v="9"/>
    <x v="9"/>
    <x v="37"/>
    <x v="0"/>
    <x v="1"/>
    <x v="0"/>
    <x v="0"/>
    <s v="No"/>
    <n v="0"/>
    <n v="79634"/>
  </r>
  <r>
    <n v="60000286"/>
    <x v="27"/>
    <x v="1"/>
    <x v="0"/>
    <x v="1"/>
    <s v="Asistio "/>
    <n v="25"/>
    <x v="3"/>
    <x v="3"/>
    <x v="10"/>
    <x v="39"/>
    <x v="0"/>
    <x v="0"/>
    <x v="1"/>
    <x v="1"/>
    <s v="Si"/>
    <n v="7"/>
    <n v="45068"/>
  </r>
  <r>
    <n v="60000287"/>
    <x v="31"/>
    <x v="1"/>
    <x v="0"/>
    <x v="8"/>
    <s v="Asistio "/>
    <n v="21"/>
    <x v="0"/>
    <x v="13"/>
    <x v="0"/>
    <x v="49"/>
    <x v="0"/>
    <x v="1"/>
    <x v="0"/>
    <x v="1"/>
    <s v="No"/>
    <n v="0"/>
    <n v="71844"/>
  </r>
  <r>
    <n v="60000288"/>
    <x v="5"/>
    <x v="0"/>
    <x v="1"/>
    <x v="9"/>
    <s v="Asistio "/>
    <n v="27"/>
    <x v="3"/>
    <x v="13"/>
    <x v="7"/>
    <x v="19"/>
    <x v="1"/>
    <x v="1"/>
    <x v="0"/>
    <x v="1"/>
    <s v="No"/>
    <n v="0"/>
    <n v="23846"/>
  </r>
  <r>
    <n v="60000289"/>
    <x v="6"/>
    <x v="0"/>
    <x v="0"/>
    <x v="9"/>
    <s v="Asistio "/>
    <n v="28"/>
    <x v="3"/>
    <x v="0"/>
    <x v="8"/>
    <x v="26"/>
    <x v="1"/>
    <x v="0"/>
    <x v="1"/>
    <x v="1"/>
    <s v="No"/>
    <n v="0"/>
    <n v="68805"/>
  </r>
  <r>
    <n v="60000290"/>
    <x v="30"/>
    <x v="1"/>
    <x v="1"/>
    <x v="5"/>
    <s v="Asistio "/>
    <n v="30"/>
    <x v="3"/>
    <x v="1"/>
    <x v="11"/>
    <x v="0"/>
    <x v="2"/>
    <x v="0"/>
    <x v="0"/>
    <x v="1"/>
    <s v="Si"/>
    <n v="6"/>
    <n v="79400"/>
  </r>
  <r>
    <n v="60000291"/>
    <x v="6"/>
    <x v="0"/>
    <x v="0"/>
    <x v="7"/>
    <s v="Asistio "/>
    <n v="36"/>
    <x v="1"/>
    <x v="1"/>
    <x v="1"/>
    <x v="40"/>
    <x v="1"/>
    <x v="1"/>
    <x v="0"/>
    <x v="0"/>
    <s v="Si"/>
    <n v="3"/>
    <n v="65258"/>
  </r>
  <r>
    <n v="60000292"/>
    <x v="13"/>
    <x v="0"/>
    <x v="0"/>
    <x v="10"/>
    <s v="Asistio "/>
    <n v="13"/>
    <x v="2"/>
    <x v="3"/>
    <x v="10"/>
    <x v="39"/>
    <x v="2"/>
    <x v="0"/>
    <x v="1"/>
    <x v="0"/>
    <s v="Si"/>
    <n v="7"/>
    <n v="79127"/>
  </r>
  <r>
    <n v="60000293"/>
    <x v="3"/>
    <x v="0"/>
    <x v="1"/>
    <x v="6"/>
    <s v="Asistio "/>
    <n v="27"/>
    <x v="3"/>
    <x v="13"/>
    <x v="3"/>
    <x v="41"/>
    <x v="0"/>
    <x v="1"/>
    <x v="0"/>
    <x v="1"/>
    <s v="No"/>
    <n v="0"/>
    <n v="54971"/>
  </r>
  <r>
    <n v="60000294"/>
    <x v="24"/>
    <x v="1"/>
    <x v="0"/>
    <x v="10"/>
    <s v="Asistio "/>
    <n v="27"/>
    <x v="3"/>
    <x v="12"/>
    <x v="3"/>
    <x v="42"/>
    <x v="2"/>
    <x v="0"/>
    <x v="1"/>
    <x v="1"/>
    <s v="No"/>
    <n v="0"/>
    <n v="35141"/>
  </r>
  <r>
    <n v="60000295"/>
    <x v="32"/>
    <x v="1"/>
    <x v="1"/>
    <x v="6"/>
    <s v="Asistio "/>
    <n v="27"/>
    <x v="3"/>
    <x v="16"/>
    <x v="5"/>
    <x v="34"/>
    <x v="2"/>
    <x v="0"/>
    <x v="0"/>
    <x v="1"/>
    <s v="No"/>
    <n v="0"/>
    <n v="31060"/>
  </r>
  <r>
    <n v="60000296"/>
    <x v="43"/>
    <x v="0"/>
    <x v="1"/>
    <x v="9"/>
    <s v="Asistio "/>
    <n v="13"/>
    <x v="2"/>
    <x v="12"/>
    <x v="1"/>
    <x v="7"/>
    <x v="1"/>
    <x v="1"/>
    <x v="0"/>
    <x v="1"/>
    <s v="Si"/>
    <n v="0"/>
    <n v="66888"/>
  </r>
  <r>
    <n v="60000297"/>
    <x v="3"/>
    <x v="1"/>
    <x v="1"/>
    <x v="9"/>
    <s v="Asistio "/>
    <n v="16"/>
    <x v="2"/>
    <x v="11"/>
    <x v="2"/>
    <x v="36"/>
    <x v="1"/>
    <x v="0"/>
    <x v="1"/>
    <x v="0"/>
    <s v="No"/>
    <n v="0"/>
    <n v="31251"/>
  </r>
  <r>
    <n v="60000298"/>
    <x v="9"/>
    <x v="0"/>
    <x v="0"/>
    <x v="11"/>
    <s v="Asistio "/>
    <n v="32"/>
    <x v="1"/>
    <x v="16"/>
    <x v="9"/>
    <x v="15"/>
    <x v="1"/>
    <x v="1"/>
    <x v="0"/>
    <x v="0"/>
    <s v="Si"/>
    <n v="5"/>
    <n v="71949"/>
  </r>
  <r>
    <n v="60000299"/>
    <x v="20"/>
    <x v="0"/>
    <x v="0"/>
    <x v="6"/>
    <s v="Asistio "/>
    <n v="10"/>
    <x v="4"/>
    <x v="10"/>
    <x v="10"/>
    <x v="33"/>
    <x v="2"/>
    <x v="0"/>
    <x v="1"/>
    <x v="1"/>
    <s v="Si"/>
    <n v="3"/>
    <n v="78768"/>
  </r>
  <r>
    <n v="60000300"/>
    <x v="5"/>
    <x v="1"/>
    <x v="1"/>
    <x v="3"/>
    <s v="Asistio "/>
    <n v="29"/>
    <x v="3"/>
    <x v="15"/>
    <x v="7"/>
    <x v="43"/>
    <x v="1"/>
    <x v="1"/>
    <x v="1"/>
    <x v="0"/>
    <s v="No"/>
    <n v="0"/>
    <n v="66516"/>
  </r>
  <r>
    <n v="60000301"/>
    <x v="15"/>
    <x v="0"/>
    <x v="0"/>
    <x v="6"/>
    <s v="Asistio "/>
    <n v="25"/>
    <x v="3"/>
    <x v="9"/>
    <x v="10"/>
    <x v="20"/>
    <x v="0"/>
    <x v="0"/>
    <x v="1"/>
    <x v="0"/>
    <s v="No"/>
    <n v="0"/>
    <n v="80286"/>
  </r>
  <r>
    <n v="60000302"/>
    <x v="9"/>
    <x v="1"/>
    <x v="0"/>
    <x v="5"/>
    <s v="Asistio "/>
    <n v="36"/>
    <x v="1"/>
    <x v="9"/>
    <x v="3"/>
    <x v="17"/>
    <x v="2"/>
    <x v="0"/>
    <x v="1"/>
    <x v="0"/>
    <s v="Si"/>
    <n v="7"/>
    <n v="27132"/>
  </r>
  <r>
    <n v="60000303"/>
    <x v="30"/>
    <x v="0"/>
    <x v="1"/>
    <x v="4"/>
    <s v="Asistio "/>
    <n v="31"/>
    <x v="3"/>
    <x v="10"/>
    <x v="5"/>
    <x v="45"/>
    <x v="1"/>
    <x v="0"/>
    <x v="1"/>
    <x v="1"/>
    <s v="Si"/>
    <n v="5"/>
    <n v="47731"/>
  </r>
  <r>
    <n v="60000304"/>
    <x v="44"/>
    <x v="0"/>
    <x v="0"/>
    <x v="4"/>
    <s v="Asistio "/>
    <n v="33"/>
    <x v="1"/>
    <x v="2"/>
    <x v="10"/>
    <x v="37"/>
    <x v="1"/>
    <x v="0"/>
    <x v="1"/>
    <x v="1"/>
    <s v="Si"/>
    <n v="0"/>
    <n v="36561"/>
  </r>
  <r>
    <n v="60000305"/>
    <x v="18"/>
    <x v="1"/>
    <x v="0"/>
    <x v="1"/>
    <s v="Asistio "/>
    <n v="26"/>
    <x v="3"/>
    <x v="3"/>
    <x v="0"/>
    <x v="12"/>
    <x v="2"/>
    <x v="0"/>
    <x v="1"/>
    <x v="0"/>
    <s v="No"/>
    <n v="0"/>
    <n v="67604"/>
  </r>
  <r>
    <n v="60000306"/>
    <x v="7"/>
    <x v="1"/>
    <x v="1"/>
    <x v="8"/>
    <s v="Asistio "/>
    <n v="13"/>
    <x v="2"/>
    <x v="4"/>
    <x v="7"/>
    <x v="14"/>
    <x v="0"/>
    <x v="0"/>
    <x v="1"/>
    <x v="0"/>
    <s v="Si"/>
    <n v="3"/>
    <n v="65598"/>
  </r>
  <r>
    <n v="60000307"/>
    <x v="17"/>
    <x v="0"/>
    <x v="0"/>
    <x v="7"/>
    <s v="Asistio "/>
    <n v="17"/>
    <x v="2"/>
    <x v="14"/>
    <x v="11"/>
    <x v="44"/>
    <x v="0"/>
    <x v="1"/>
    <x v="0"/>
    <x v="1"/>
    <s v="Si"/>
    <n v="0"/>
    <n v="34810"/>
  </r>
  <r>
    <n v="60000308"/>
    <x v="29"/>
    <x v="0"/>
    <x v="1"/>
    <x v="7"/>
    <s v="Asistio "/>
    <n v="32"/>
    <x v="1"/>
    <x v="16"/>
    <x v="1"/>
    <x v="37"/>
    <x v="1"/>
    <x v="1"/>
    <x v="0"/>
    <x v="1"/>
    <s v="No"/>
    <n v="0"/>
    <n v="71181"/>
  </r>
  <r>
    <n v="60000309"/>
    <x v="17"/>
    <x v="0"/>
    <x v="1"/>
    <x v="11"/>
    <s v="Asistio "/>
    <n v="13"/>
    <x v="2"/>
    <x v="5"/>
    <x v="3"/>
    <x v="23"/>
    <x v="2"/>
    <x v="0"/>
    <x v="0"/>
    <x v="1"/>
    <s v="No"/>
    <n v="0"/>
    <n v="27743"/>
  </r>
  <r>
    <n v="60000310"/>
    <x v="22"/>
    <x v="1"/>
    <x v="1"/>
    <x v="9"/>
    <s v="Asistio "/>
    <n v="26"/>
    <x v="3"/>
    <x v="4"/>
    <x v="11"/>
    <x v="0"/>
    <x v="0"/>
    <x v="1"/>
    <x v="0"/>
    <x v="0"/>
    <s v="Si"/>
    <n v="7"/>
    <n v="33018"/>
  </r>
  <r>
    <n v="60000311"/>
    <x v="35"/>
    <x v="1"/>
    <x v="0"/>
    <x v="0"/>
    <s v="Asistio "/>
    <n v="36"/>
    <x v="1"/>
    <x v="0"/>
    <x v="2"/>
    <x v="45"/>
    <x v="2"/>
    <x v="0"/>
    <x v="0"/>
    <x v="0"/>
    <s v="Si"/>
    <n v="4"/>
    <n v="81977"/>
  </r>
  <r>
    <n v="60000312"/>
    <x v="12"/>
    <x v="0"/>
    <x v="0"/>
    <x v="11"/>
    <s v="Asistio "/>
    <n v="17"/>
    <x v="2"/>
    <x v="11"/>
    <x v="8"/>
    <x v="41"/>
    <x v="2"/>
    <x v="1"/>
    <x v="0"/>
    <x v="0"/>
    <s v="Si"/>
    <n v="3"/>
    <n v="40365"/>
  </r>
  <r>
    <n v="60000313"/>
    <x v="27"/>
    <x v="1"/>
    <x v="0"/>
    <x v="10"/>
    <s v="Asistio "/>
    <n v="35"/>
    <x v="1"/>
    <x v="7"/>
    <x v="10"/>
    <x v="36"/>
    <x v="1"/>
    <x v="1"/>
    <x v="1"/>
    <x v="1"/>
    <s v="Si"/>
    <n v="0"/>
    <n v="24396"/>
  </r>
  <r>
    <n v="60000314"/>
    <x v="43"/>
    <x v="0"/>
    <x v="1"/>
    <x v="7"/>
    <s v="Asistio "/>
    <n v="34"/>
    <x v="1"/>
    <x v="16"/>
    <x v="11"/>
    <x v="20"/>
    <x v="1"/>
    <x v="1"/>
    <x v="0"/>
    <x v="0"/>
    <s v="No"/>
    <n v="0"/>
    <n v="60089"/>
  </r>
  <r>
    <n v="60000315"/>
    <x v="29"/>
    <x v="1"/>
    <x v="1"/>
    <x v="7"/>
    <s v="Asistio "/>
    <n v="37"/>
    <x v="1"/>
    <x v="8"/>
    <x v="4"/>
    <x v="12"/>
    <x v="1"/>
    <x v="1"/>
    <x v="1"/>
    <x v="0"/>
    <s v="No"/>
    <n v="0"/>
    <n v="80153"/>
  </r>
  <r>
    <n v="60000316"/>
    <x v="42"/>
    <x v="1"/>
    <x v="1"/>
    <x v="4"/>
    <s v="Asistio "/>
    <n v="17"/>
    <x v="2"/>
    <x v="6"/>
    <x v="10"/>
    <x v="43"/>
    <x v="0"/>
    <x v="1"/>
    <x v="1"/>
    <x v="1"/>
    <s v="No"/>
    <n v="0"/>
    <n v="30014"/>
  </r>
  <r>
    <n v="60000317"/>
    <x v="38"/>
    <x v="1"/>
    <x v="0"/>
    <x v="3"/>
    <s v="Asistio "/>
    <n v="30"/>
    <x v="3"/>
    <x v="9"/>
    <x v="12"/>
    <x v="17"/>
    <x v="0"/>
    <x v="0"/>
    <x v="0"/>
    <x v="0"/>
    <s v="Si"/>
    <n v="3"/>
    <n v="59887"/>
  </r>
  <r>
    <n v="60000318"/>
    <x v="18"/>
    <x v="1"/>
    <x v="1"/>
    <x v="3"/>
    <s v="Asistio "/>
    <n v="19"/>
    <x v="0"/>
    <x v="9"/>
    <x v="11"/>
    <x v="39"/>
    <x v="2"/>
    <x v="0"/>
    <x v="0"/>
    <x v="1"/>
    <s v="No"/>
    <n v="0"/>
    <n v="54530"/>
  </r>
  <r>
    <n v="60000319"/>
    <x v="16"/>
    <x v="0"/>
    <x v="0"/>
    <x v="11"/>
    <s v="Asistio "/>
    <n v="34"/>
    <x v="1"/>
    <x v="7"/>
    <x v="3"/>
    <x v="34"/>
    <x v="1"/>
    <x v="0"/>
    <x v="1"/>
    <x v="1"/>
    <s v="No"/>
    <n v="0"/>
    <n v="69493"/>
  </r>
  <r>
    <n v="60000320"/>
    <x v="24"/>
    <x v="0"/>
    <x v="0"/>
    <x v="1"/>
    <s v="Asistio "/>
    <n v="25"/>
    <x v="3"/>
    <x v="14"/>
    <x v="3"/>
    <x v="45"/>
    <x v="1"/>
    <x v="0"/>
    <x v="1"/>
    <x v="0"/>
    <s v="No"/>
    <n v="0"/>
    <n v="59545"/>
  </r>
  <r>
    <n v="60000321"/>
    <x v="42"/>
    <x v="0"/>
    <x v="0"/>
    <x v="6"/>
    <s v="Asistio "/>
    <n v="23"/>
    <x v="0"/>
    <x v="7"/>
    <x v="9"/>
    <x v="28"/>
    <x v="1"/>
    <x v="1"/>
    <x v="1"/>
    <x v="0"/>
    <s v="No"/>
    <n v="0"/>
    <n v="44617"/>
  </r>
  <r>
    <n v="60000322"/>
    <x v="41"/>
    <x v="1"/>
    <x v="0"/>
    <x v="10"/>
    <s v="Asistio "/>
    <n v="16"/>
    <x v="2"/>
    <x v="4"/>
    <x v="12"/>
    <x v="34"/>
    <x v="1"/>
    <x v="0"/>
    <x v="1"/>
    <x v="1"/>
    <s v="Si"/>
    <n v="4"/>
    <n v="73689"/>
  </r>
  <r>
    <n v="60000323"/>
    <x v="17"/>
    <x v="0"/>
    <x v="1"/>
    <x v="10"/>
    <s v="Asistio "/>
    <n v="16"/>
    <x v="2"/>
    <x v="15"/>
    <x v="1"/>
    <x v="2"/>
    <x v="0"/>
    <x v="1"/>
    <x v="0"/>
    <x v="0"/>
    <s v="Si"/>
    <n v="6"/>
    <n v="40223"/>
  </r>
  <r>
    <n v="60000324"/>
    <x v="44"/>
    <x v="1"/>
    <x v="0"/>
    <x v="7"/>
    <s v="Asistio "/>
    <n v="18"/>
    <x v="2"/>
    <x v="1"/>
    <x v="7"/>
    <x v="3"/>
    <x v="0"/>
    <x v="0"/>
    <x v="0"/>
    <x v="1"/>
    <s v="No"/>
    <n v="0"/>
    <n v="57482"/>
  </r>
  <r>
    <n v="60000325"/>
    <x v="38"/>
    <x v="1"/>
    <x v="0"/>
    <x v="0"/>
    <s v="Asistio "/>
    <n v="27"/>
    <x v="3"/>
    <x v="1"/>
    <x v="7"/>
    <x v="12"/>
    <x v="2"/>
    <x v="0"/>
    <x v="0"/>
    <x v="1"/>
    <s v="Si"/>
    <n v="7"/>
    <n v="64281"/>
  </r>
  <r>
    <n v="60000326"/>
    <x v="40"/>
    <x v="1"/>
    <x v="0"/>
    <x v="0"/>
    <s v="Asistio "/>
    <n v="12"/>
    <x v="2"/>
    <x v="10"/>
    <x v="4"/>
    <x v="3"/>
    <x v="0"/>
    <x v="0"/>
    <x v="0"/>
    <x v="0"/>
    <s v="Si"/>
    <n v="2"/>
    <n v="71618"/>
  </r>
  <r>
    <n v="60000327"/>
    <x v="5"/>
    <x v="1"/>
    <x v="0"/>
    <x v="8"/>
    <s v="Asistio "/>
    <n v="15"/>
    <x v="2"/>
    <x v="14"/>
    <x v="12"/>
    <x v="17"/>
    <x v="2"/>
    <x v="1"/>
    <x v="1"/>
    <x v="0"/>
    <s v="No"/>
    <n v="0"/>
    <n v="26318"/>
  </r>
  <r>
    <n v="60000328"/>
    <x v="17"/>
    <x v="0"/>
    <x v="1"/>
    <x v="0"/>
    <s v="Asistio "/>
    <n v="10"/>
    <x v="4"/>
    <x v="2"/>
    <x v="12"/>
    <x v="18"/>
    <x v="0"/>
    <x v="1"/>
    <x v="0"/>
    <x v="0"/>
    <s v="Si"/>
    <n v="4"/>
    <n v="46356"/>
  </r>
  <r>
    <n v="60000329"/>
    <x v="11"/>
    <x v="1"/>
    <x v="1"/>
    <x v="9"/>
    <s v="Asistio "/>
    <n v="28"/>
    <x v="3"/>
    <x v="6"/>
    <x v="7"/>
    <x v="18"/>
    <x v="0"/>
    <x v="0"/>
    <x v="0"/>
    <x v="1"/>
    <s v="No"/>
    <n v="0"/>
    <n v="81647"/>
  </r>
  <r>
    <n v="60000330"/>
    <x v="24"/>
    <x v="1"/>
    <x v="0"/>
    <x v="8"/>
    <s v="Asistio "/>
    <n v="14"/>
    <x v="2"/>
    <x v="10"/>
    <x v="8"/>
    <x v="21"/>
    <x v="1"/>
    <x v="1"/>
    <x v="0"/>
    <x v="1"/>
    <s v="Si"/>
    <n v="3"/>
    <n v="54648"/>
  </r>
  <r>
    <n v="60000331"/>
    <x v="12"/>
    <x v="1"/>
    <x v="0"/>
    <x v="2"/>
    <s v="Asistio "/>
    <n v="24"/>
    <x v="0"/>
    <x v="8"/>
    <x v="11"/>
    <x v="10"/>
    <x v="0"/>
    <x v="0"/>
    <x v="1"/>
    <x v="1"/>
    <s v="Si"/>
    <n v="7"/>
    <n v="81653"/>
  </r>
  <r>
    <n v="60000332"/>
    <x v="43"/>
    <x v="1"/>
    <x v="0"/>
    <x v="1"/>
    <s v="Asistio "/>
    <n v="38"/>
    <x v="1"/>
    <x v="0"/>
    <x v="12"/>
    <x v="25"/>
    <x v="1"/>
    <x v="0"/>
    <x v="1"/>
    <x v="1"/>
    <s v="Si"/>
    <n v="7"/>
    <n v="77875"/>
  </r>
  <r>
    <n v="60000333"/>
    <x v="45"/>
    <x v="0"/>
    <x v="0"/>
    <x v="2"/>
    <s v="Asistio "/>
    <n v="11"/>
    <x v="4"/>
    <x v="0"/>
    <x v="7"/>
    <x v="47"/>
    <x v="2"/>
    <x v="1"/>
    <x v="0"/>
    <x v="0"/>
    <s v="No"/>
    <n v="0"/>
    <n v="45273"/>
  </r>
  <r>
    <n v="60000334"/>
    <x v="12"/>
    <x v="0"/>
    <x v="1"/>
    <x v="6"/>
    <s v="Asistio "/>
    <n v="25"/>
    <x v="3"/>
    <x v="14"/>
    <x v="2"/>
    <x v="32"/>
    <x v="1"/>
    <x v="1"/>
    <x v="0"/>
    <x v="0"/>
    <s v="Si"/>
    <n v="3"/>
    <n v="61595"/>
  </r>
  <r>
    <n v="60000335"/>
    <x v="6"/>
    <x v="0"/>
    <x v="0"/>
    <x v="7"/>
    <s v="Asistio "/>
    <n v="14"/>
    <x v="2"/>
    <x v="3"/>
    <x v="1"/>
    <x v="38"/>
    <x v="1"/>
    <x v="0"/>
    <x v="1"/>
    <x v="1"/>
    <s v="No"/>
    <n v="0"/>
    <n v="63891"/>
  </r>
  <r>
    <n v="60000336"/>
    <x v="27"/>
    <x v="1"/>
    <x v="1"/>
    <x v="7"/>
    <s v="Asistio "/>
    <n v="35"/>
    <x v="1"/>
    <x v="6"/>
    <x v="10"/>
    <x v="22"/>
    <x v="2"/>
    <x v="0"/>
    <x v="1"/>
    <x v="1"/>
    <s v="Si"/>
    <n v="3"/>
    <n v="82738"/>
  </r>
  <r>
    <n v="60000337"/>
    <x v="16"/>
    <x v="0"/>
    <x v="1"/>
    <x v="8"/>
    <s v="Asistio "/>
    <n v="20"/>
    <x v="0"/>
    <x v="1"/>
    <x v="6"/>
    <x v="11"/>
    <x v="2"/>
    <x v="1"/>
    <x v="1"/>
    <x v="0"/>
    <s v="Si"/>
    <n v="0"/>
    <n v="70406"/>
  </r>
  <r>
    <n v="60000338"/>
    <x v="1"/>
    <x v="1"/>
    <x v="1"/>
    <x v="6"/>
    <s v="Asistio "/>
    <n v="24"/>
    <x v="0"/>
    <x v="7"/>
    <x v="2"/>
    <x v="2"/>
    <x v="0"/>
    <x v="1"/>
    <x v="0"/>
    <x v="1"/>
    <s v="No"/>
    <n v="0"/>
    <n v="32704"/>
  </r>
  <r>
    <n v="60000339"/>
    <x v="41"/>
    <x v="0"/>
    <x v="0"/>
    <x v="4"/>
    <s v="Asistio "/>
    <n v="18"/>
    <x v="2"/>
    <x v="4"/>
    <x v="1"/>
    <x v="42"/>
    <x v="2"/>
    <x v="1"/>
    <x v="0"/>
    <x v="1"/>
    <s v="Si"/>
    <n v="5"/>
    <n v="55853"/>
  </r>
  <r>
    <n v="60000340"/>
    <x v="38"/>
    <x v="1"/>
    <x v="0"/>
    <x v="10"/>
    <s v="Asistio "/>
    <n v="21"/>
    <x v="0"/>
    <x v="2"/>
    <x v="10"/>
    <x v="22"/>
    <x v="2"/>
    <x v="1"/>
    <x v="0"/>
    <x v="0"/>
    <s v="Si"/>
    <n v="1"/>
    <n v="68248"/>
  </r>
  <r>
    <n v="60000341"/>
    <x v="35"/>
    <x v="0"/>
    <x v="1"/>
    <x v="1"/>
    <s v="Asistio "/>
    <n v="21"/>
    <x v="0"/>
    <x v="3"/>
    <x v="5"/>
    <x v="47"/>
    <x v="2"/>
    <x v="0"/>
    <x v="0"/>
    <x v="1"/>
    <s v="Si"/>
    <n v="7"/>
    <n v="66416"/>
  </r>
  <r>
    <n v="60000342"/>
    <x v="13"/>
    <x v="0"/>
    <x v="0"/>
    <x v="9"/>
    <s v="Asistio "/>
    <n v="31"/>
    <x v="3"/>
    <x v="7"/>
    <x v="0"/>
    <x v="7"/>
    <x v="1"/>
    <x v="0"/>
    <x v="1"/>
    <x v="0"/>
    <s v="No"/>
    <n v="0"/>
    <n v="30843"/>
  </r>
  <r>
    <n v="60000343"/>
    <x v="20"/>
    <x v="0"/>
    <x v="0"/>
    <x v="7"/>
    <s v="Asistio "/>
    <n v="33"/>
    <x v="1"/>
    <x v="2"/>
    <x v="12"/>
    <x v="35"/>
    <x v="1"/>
    <x v="1"/>
    <x v="0"/>
    <x v="1"/>
    <s v="Si"/>
    <n v="1"/>
    <n v="75103"/>
  </r>
  <r>
    <n v="60000344"/>
    <x v="32"/>
    <x v="0"/>
    <x v="1"/>
    <x v="9"/>
    <s v="Asistio "/>
    <n v="30"/>
    <x v="3"/>
    <x v="14"/>
    <x v="0"/>
    <x v="42"/>
    <x v="1"/>
    <x v="1"/>
    <x v="0"/>
    <x v="1"/>
    <s v="No"/>
    <n v="0"/>
    <n v="25142"/>
  </r>
  <r>
    <n v="60000345"/>
    <x v="30"/>
    <x v="1"/>
    <x v="0"/>
    <x v="8"/>
    <s v="Asistio "/>
    <n v="25"/>
    <x v="3"/>
    <x v="12"/>
    <x v="5"/>
    <x v="32"/>
    <x v="2"/>
    <x v="1"/>
    <x v="1"/>
    <x v="1"/>
    <s v="No"/>
    <n v="0"/>
    <n v="66513"/>
  </r>
  <r>
    <n v="60000346"/>
    <x v="4"/>
    <x v="0"/>
    <x v="1"/>
    <x v="6"/>
    <s v="Asistio "/>
    <n v="24"/>
    <x v="0"/>
    <x v="10"/>
    <x v="12"/>
    <x v="4"/>
    <x v="1"/>
    <x v="1"/>
    <x v="1"/>
    <x v="1"/>
    <s v="No"/>
    <n v="0"/>
    <n v="27384"/>
  </r>
  <r>
    <n v="60000347"/>
    <x v="25"/>
    <x v="0"/>
    <x v="0"/>
    <x v="1"/>
    <s v="Asistio "/>
    <n v="23"/>
    <x v="0"/>
    <x v="5"/>
    <x v="11"/>
    <x v="25"/>
    <x v="1"/>
    <x v="1"/>
    <x v="1"/>
    <x v="1"/>
    <s v="Si"/>
    <n v="6"/>
    <n v="38490"/>
  </r>
  <r>
    <n v="60000348"/>
    <x v="13"/>
    <x v="0"/>
    <x v="0"/>
    <x v="5"/>
    <s v="Asistio "/>
    <n v="11"/>
    <x v="4"/>
    <x v="11"/>
    <x v="2"/>
    <x v="17"/>
    <x v="2"/>
    <x v="1"/>
    <x v="0"/>
    <x v="0"/>
    <s v="Si"/>
    <n v="7"/>
    <n v="82763"/>
  </r>
  <r>
    <n v="60000349"/>
    <x v="4"/>
    <x v="0"/>
    <x v="0"/>
    <x v="6"/>
    <s v="Asistio "/>
    <n v="36"/>
    <x v="1"/>
    <x v="9"/>
    <x v="12"/>
    <x v="40"/>
    <x v="0"/>
    <x v="0"/>
    <x v="0"/>
    <x v="1"/>
    <s v="Si"/>
    <n v="3"/>
    <n v="43345"/>
  </r>
  <r>
    <n v="60000350"/>
    <x v="14"/>
    <x v="1"/>
    <x v="0"/>
    <x v="5"/>
    <s v="Asistio "/>
    <n v="32"/>
    <x v="1"/>
    <x v="1"/>
    <x v="5"/>
    <x v="26"/>
    <x v="2"/>
    <x v="0"/>
    <x v="0"/>
    <x v="1"/>
    <s v="No"/>
    <n v="0"/>
    <n v="24990"/>
  </r>
  <r>
    <n v="60000351"/>
    <x v="36"/>
    <x v="0"/>
    <x v="0"/>
    <x v="0"/>
    <s v="Asistio "/>
    <n v="18"/>
    <x v="2"/>
    <x v="0"/>
    <x v="12"/>
    <x v="48"/>
    <x v="2"/>
    <x v="1"/>
    <x v="0"/>
    <x v="0"/>
    <s v="No"/>
    <n v="0"/>
    <n v="25961"/>
  </r>
  <r>
    <n v="60000352"/>
    <x v="8"/>
    <x v="0"/>
    <x v="0"/>
    <x v="3"/>
    <s v="Asistio "/>
    <n v="38"/>
    <x v="1"/>
    <x v="12"/>
    <x v="3"/>
    <x v="29"/>
    <x v="0"/>
    <x v="1"/>
    <x v="0"/>
    <x v="1"/>
    <s v="Si"/>
    <n v="4"/>
    <n v="37228"/>
  </r>
  <r>
    <n v="60000353"/>
    <x v="24"/>
    <x v="1"/>
    <x v="0"/>
    <x v="8"/>
    <s v="Asistio "/>
    <n v="29"/>
    <x v="3"/>
    <x v="1"/>
    <x v="6"/>
    <x v="44"/>
    <x v="1"/>
    <x v="0"/>
    <x v="0"/>
    <x v="1"/>
    <s v="No"/>
    <n v="0"/>
    <n v="26244"/>
  </r>
  <r>
    <n v="60000354"/>
    <x v="42"/>
    <x v="0"/>
    <x v="0"/>
    <x v="6"/>
    <s v="Asistio "/>
    <n v="35"/>
    <x v="1"/>
    <x v="13"/>
    <x v="10"/>
    <x v="42"/>
    <x v="2"/>
    <x v="0"/>
    <x v="1"/>
    <x v="0"/>
    <s v="Si"/>
    <n v="6"/>
    <n v="69760"/>
  </r>
  <r>
    <n v="60000355"/>
    <x v="33"/>
    <x v="0"/>
    <x v="1"/>
    <x v="8"/>
    <s v="Asistio "/>
    <n v="36"/>
    <x v="1"/>
    <x v="14"/>
    <x v="10"/>
    <x v="0"/>
    <x v="0"/>
    <x v="0"/>
    <x v="1"/>
    <x v="0"/>
    <s v="Si"/>
    <n v="2"/>
    <n v="49433"/>
  </r>
  <r>
    <n v="60000356"/>
    <x v="38"/>
    <x v="1"/>
    <x v="0"/>
    <x v="0"/>
    <s v="Asistio "/>
    <n v="37"/>
    <x v="1"/>
    <x v="6"/>
    <x v="8"/>
    <x v="22"/>
    <x v="0"/>
    <x v="0"/>
    <x v="1"/>
    <x v="1"/>
    <s v="No"/>
    <n v="0"/>
    <n v="32841"/>
  </r>
  <r>
    <n v="60000357"/>
    <x v="18"/>
    <x v="0"/>
    <x v="1"/>
    <x v="7"/>
    <s v="Asistio "/>
    <n v="35"/>
    <x v="1"/>
    <x v="8"/>
    <x v="9"/>
    <x v="25"/>
    <x v="0"/>
    <x v="1"/>
    <x v="1"/>
    <x v="1"/>
    <s v="No"/>
    <n v="0"/>
    <n v="26497"/>
  </r>
  <r>
    <n v="60000358"/>
    <x v="14"/>
    <x v="0"/>
    <x v="0"/>
    <x v="3"/>
    <s v="Asistio "/>
    <n v="37"/>
    <x v="1"/>
    <x v="12"/>
    <x v="6"/>
    <x v="8"/>
    <x v="0"/>
    <x v="0"/>
    <x v="1"/>
    <x v="0"/>
    <s v="Si"/>
    <n v="3"/>
    <n v="24475"/>
  </r>
  <r>
    <n v="60000359"/>
    <x v="31"/>
    <x v="0"/>
    <x v="0"/>
    <x v="3"/>
    <s v="Asistio "/>
    <n v="35"/>
    <x v="1"/>
    <x v="10"/>
    <x v="0"/>
    <x v="32"/>
    <x v="2"/>
    <x v="0"/>
    <x v="0"/>
    <x v="0"/>
    <s v="No"/>
    <n v="0"/>
    <n v="61193"/>
  </r>
  <r>
    <n v="60000360"/>
    <x v="43"/>
    <x v="1"/>
    <x v="1"/>
    <x v="1"/>
    <s v="Asistio "/>
    <n v="14"/>
    <x v="2"/>
    <x v="11"/>
    <x v="5"/>
    <x v="6"/>
    <x v="0"/>
    <x v="1"/>
    <x v="0"/>
    <x v="0"/>
    <s v="Si"/>
    <n v="6"/>
    <n v="55051"/>
  </r>
  <r>
    <n v="60000361"/>
    <x v="14"/>
    <x v="0"/>
    <x v="0"/>
    <x v="0"/>
    <s v="Asistio "/>
    <n v="28"/>
    <x v="3"/>
    <x v="2"/>
    <x v="0"/>
    <x v="27"/>
    <x v="1"/>
    <x v="0"/>
    <x v="0"/>
    <x v="0"/>
    <s v="No"/>
    <n v="0"/>
    <n v="36268"/>
  </r>
  <r>
    <n v="60000362"/>
    <x v="23"/>
    <x v="0"/>
    <x v="1"/>
    <x v="0"/>
    <s v="Asistio "/>
    <n v="21"/>
    <x v="0"/>
    <x v="7"/>
    <x v="10"/>
    <x v="1"/>
    <x v="2"/>
    <x v="0"/>
    <x v="0"/>
    <x v="1"/>
    <s v="Si"/>
    <n v="5"/>
    <n v="62522"/>
  </r>
  <r>
    <n v="60000363"/>
    <x v="32"/>
    <x v="0"/>
    <x v="1"/>
    <x v="10"/>
    <s v="Asistio "/>
    <n v="16"/>
    <x v="2"/>
    <x v="9"/>
    <x v="6"/>
    <x v="22"/>
    <x v="0"/>
    <x v="1"/>
    <x v="0"/>
    <x v="1"/>
    <s v="No"/>
    <n v="0"/>
    <n v="74630"/>
  </r>
  <r>
    <n v="60000364"/>
    <x v="22"/>
    <x v="0"/>
    <x v="1"/>
    <x v="9"/>
    <s v="Asistio "/>
    <n v="14"/>
    <x v="2"/>
    <x v="14"/>
    <x v="10"/>
    <x v="2"/>
    <x v="2"/>
    <x v="0"/>
    <x v="0"/>
    <x v="1"/>
    <s v="Si"/>
    <n v="0"/>
    <n v="39889"/>
  </r>
  <r>
    <n v="60000365"/>
    <x v="28"/>
    <x v="1"/>
    <x v="1"/>
    <x v="7"/>
    <s v="Asistio "/>
    <n v="29"/>
    <x v="3"/>
    <x v="2"/>
    <x v="8"/>
    <x v="5"/>
    <x v="1"/>
    <x v="0"/>
    <x v="1"/>
    <x v="1"/>
    <s v="Si"/>
    <n v="5"/>
    <n v="27928"/>
  </r>
  <r>
    <n v="60000366"/>
    <x v="31"/>
    <x v="0"/>
    <x v="1"/>
    <x v="4"/>
    <s v="Asistio "/>
    <n v="25"/>
    <x v="3"/>
    <x v="8"/>
    <x v="10"/>
    <x v="16"/>
    <x v="0"/>
    <x v="0"/>
    <x v="0"/>
    <x v="1"/>
    <s v="Si"/>
    <n v="1"/>
    <n v="49493"/>
  </r>
  <r>
    <n v="60000367"/>
    <x v="34"/>
    <x v="0"/>
    <x v="1"/>
    <x v="3"/>
    <s v="Asistio "/>
    <n v="16"/>
    <x v="2"/>
    <x v="0"/>
    <x v="7"/>
    <x v="43"/>
    <x v="0"/>
    <x v="1"/>
    <x v="0"/>
    <x v="0"/>
    <s v="No"/>
    <n v="0"/>
    <n v="64826"/>
  </r>
  <r>
    <n v="60000368"/>
    <x v="43"/>
    <x v="0"/>
    <x v="0"/>
    <x v="2"/>
    <s v="Asistio "/>
    <n v="14"/>
    <x v="2"/>
    <x v="2"/>
    <x v="11"/>
    <x v="14"/>
    <x v="2"/>
    <x v="1"/>
    <x v="0"/>
    <x v="0"/>
    <s v="Si"/>
    <n v="3"/>
    <n v="54304"/>
  </r>
  <r>
    <n v="60000369"/>
    <x v="32"/>
    <x v="1"/>
    <x v="1"/>
    <x v="2"/>
    <s v="Asistio "/>
    <n v="29"/>
    <x v="3"/>
    <x v="2"/>
    <x v="10"/>
    <x v="27"/>
    <x v="2"/>
    <x v="1"/>
    <x v="1"/>
    <x v="1"/>
    <s v="No"/>
    <n v="0"/>
    <n v="80617"/>
  </r>
  <r>
    <n v="60000370"/>
    <x v="23"/>
    <x v="0"/>
    <x v="0"/>
    <x v="5"/>
    <s v="Asistio "/>
    <n v="19"/>
    <x v="0"/>
    <x v="9"/>
    <x v="0"/>
    <x v="23"/>
    <x v="2"/>
    <x v="1"/>
    <x v="0"/>
    <x v="0"/>
    <s v="No"/>
    <n v="0"/>
    <n v="74854"/>
  </r>
  <r>
    <n v="60000371"/>
    <x v="44"/>
    <x v="1"/>
    <x v="1"/>
    <x v="7"/>
    <s v="Asistio "/>
    <n v="16"/>
    <x v="2"/>
    <x v="13"/>
    <x v="11"/>
    <x v="4"/>
    <x v="1"/>
    <x v="0"/>
    <x v="1"/>
    <x v="0"/>
    <s v="No"/>
    <n v="0"/>
    <n v="49343"/>
  </r>
  <r>
    <n v="60000372"/>
    <x v="10"/>
    <x v="1"/>
    <x v="1"/>
    <x v="3"/>
    <s v="Asistio "/>
    <n v="16"/>
    <x v="2"/>
    <x v="11"/>
    <x v="7"/>
    <x v="25"/>
    <x v="2"/>
    <x v="0"/>
    <x v="0"/>
    <x v="1"/>
    <s v="Si"/>
    <n v="4"/>
    <n v="80425"/>
  </r>
  <r>
    <n v="60000373"/>
    <x v="12"/>
    <x v="1"/>
    <x v="0"/>
    <x v="9"/>
    <s v="Asistio "/>
    <n v="19"/>
    <x v="0"/>
    <x v="16"/>
    <x v="3"/>
    <x v="31"/>
    <x v="0"/>
    <x v="1"/>
    <x v="0"/>
    <x v="0"/>
    <s v="Si"/>
    <n v="0"/>
    <n v="28635"/>
  </r>
  <r>
    <n v="60000374"/>
    <x v="37"/>
    <x v="0"/>
    <x v="0"/>
    <x v="10"/>
    <s v="Asistio "/>
    <n v="26"/>
    <x v="3"/>
    <x v="14"/>
    <x v="11"/>
    <x v="34"/>
    <x v="2"/>
    <x v="0"/>
    <x v="0"/>
    <x v="1"/>
    <s v="No"/>
    <n v="0"/>
    <n v="28074"/>
  </r>
  <r>
    <n v="60000375"/>
    <x v="15"/>
    <x v="1"/>
    <x v="0"/>
    <x v="9"/>
    <s v="Asistio "/>
    <n v="34"/>
    <x v="1"/>
    <x v="14"/>
    <x v="8"/>
    <x v="20"/>
    <x v="1"/>
    <x v="0"/>
    <x v="0"/>
    <x v="0"/>
    <s v="Si"/>
    <n v="3"/>
    <n v="68445"/>
  </r>
  <r>
    <n v="60000376"/>
    <x v="12"/>
    <x v="1"/>
    <x v="1"/>
    <x v="8"/>
    <s v="Asistio "/>
    <n v="25"/>
    <x v="3"/>
    <x v="8"/>
    <x v="11"/>
    <x v="38"/>
    <x v="1"/>
    <x v="1"/>
    <x v="1"/>
    <x v="0"/>
    <s v="No"/>
    <n v="0"/>
    <n v="84067"/>
  </r>
  <r>
    <n v="60000377"/>
    <x v="19"/>
    <x v="0"/>
    <x v="1"/>
    <x v="5"/>
    <s v="Asistio "/>
    <n v="11"/>
    <x v="4"/>
    <x v="3"/>
    <x v="2"/>
    <x v="36"/>
    <x v="0"/>
    <x v="0"/>
    <x v="0"/>
    <x v="0"/>
    <s v="No"/>
    <n v="0"/>
    <n v="83731"/>
  </r>
  <r>
    <n v="60000378"/>
    <x v="25"/>
    <x v="1"/>
    <x v="1"/>
    <x v="6"/>
    <s v="Asistio "/>
    <n v="27"/>
    <x v="3"/>
    <x v="11"/>
    <x v="8"/>
    <x v="11"/>
    <x v="0"/>
    <x v="0"/>
    <x v="1"/>
    <x v="0"/>
    <s v="Si"/>
    <n v="1"/>
    <n v="28557"/>
  </r>
  <r>
    <n v="60000379"/>
    <x v="2"/>
    <x v="1"/>
    <x v="0"/>
    <x v="5"/>
    <s v="Asistio "/>
    <n v="35"/>
    <x v="1"/>
    <x v="6"/>
    <x v="11"/>
    <x v="3"/>
    <x v="2"/>
    <x v="1"/>
    <x v="1"/>
    <x v="0"/>
    <s v="Si"/>
    <n v="5"/>
    <n v="79614"/>
  </r>
  <r>
    <n v="60000380"/>
    <x v="8"/>
    <x v="0"/>
    <x v="0"/>
    <x v="6"/>
    <s v="Asistio "/>
    <n v="30"/>
    <x v="3"/>
    <x v="3"/>
    <x v="10"/>
    <x v="20"/>
    <x v="1"/>
    <x v="0"/>
    <x v="1"/>
    <x v="0"/>
    <s v="No"/>
    <n v="0"/>
    <n v="54684"/>
  </r>
  <r>
    <n v="60000381"/>
    <x v="21"/>
    <x v="1"/>
    <x v="0"/>
    <x v="6"/>
    <s v="Asistio "/>
    <n v="31"/>
    <x v="3"/>
    <x v="3"/>
    <x v="6"/>
    <x v="45"/>
    <x v="2"/>
    <x v="1"/>
    <x v="0"/>
    <x v="1"/>
    <s v="Si"/>
    <n v="7"/>
    <n v="27227"/>
  </r>
  <r>
    <n v="60000382"/>
    <x v="20"/>
    <x v="1"/>
    <x v="0"/>
    <x v="4"/>
    <s v="Asistio "/>
    <n v="13"/>
    <x v="2"/>
    <x v="8"/>
    <x v="7"/>
    <x v="10"/>
    <x v="1"/>
    <x v="1"/>
    <x v="1"/>
    <x v="1"/>
    <s v="No"/>
    <n v="0"/>
    <n v="32045"/>
  </r>
  <r>
    <n v="60000383"/>
    <x v="43"/>
    <x v="0"/>
    <x v="1"/>
    <x v="3"/>
    <s v="Asistio "/>
    <n v="28"/>
    <x v="3"/>
    <x v="1"/>
    <x v="8"/>
    <x v="48"/>
    <x v="2"/>
    <x v="1"/>
    <x v="1"/>
    <x v="1"/>
    <s v="No"/>
    <n v="0"/>
    <n v="25551"/>
  </r>
  <r>
    <n v="60000384"/>
    <x v="12"/>
    <x v="0"/>
    <x v="1"/>
    <x v="6"/>
    <s v="Asistio "/>
    <n v="20"/>
    <x v="0"/>
    <x v="14"/>
    <x v="7"/>
    <x v="42"/>
    <x v="0"/>
    <x v="1"/>
    <x v="1"/>
    <x v="0"/>
    <s v="No"/>
    <n v="0"/>
    <n v="43464"/>
  </r>
  <r>
    <n v="60000385"/>
    <x v="12"/>
    <x v="1"/>
    <x v="1"/>
    <x v="3"/>
    <s v="Asistio "/>
    <n v="30"/>
    <x v="3"/>
    <x v="15"/>
    <x v="4"/>
    <x v="10"/>
    <x v="2"/>
    <x v="0"/>
    <x v="0"/>
    <x v="0"/>
    <s v="Si"/>
    <n v="5"/>
    <n v="41890"/>
  </r>
  <r>
    <n v="60000386"/>
    <x v="43"/>
    <x v="1"/>
    <x v="0"/>
    <x v="6"/>
    <s v="Asistio "/>
    <n v="17"/>
    <x v="2"/>
    <x v="6"/>
    <x v="0"/>
    <x v="18"/>
    <x v="1"/>
    <x v="1"/>
    <x v="0"/>
    <x v="1"/>
    <s v="Si"/>
    <n v="7"/>
    <n v="36063"/>
  </r>
  <r>
    <n v="60000387"/>
    <x v="33"/>
    <x v="0"/>
    <x v="0"/>
    <x v="3"/>
    <s v="Asistio "/>
    <n v="24"/>
    <x v="0"/>
    <x v="3"/>
    <x v="2"/>
    <x v="32"/>
    <x v="0"/>
    <x v="1"/>
    <x v="1"/>
    <x v="1"/>
    <s v="No"/>
    <n v="0"/>
    <n v="80040"/>
  </r>
  <r>
    <n v="60000388"/>
    <x v="20"/>
    <x v="1"/>
    <x v="1"/>
    <x v="0"/>
    <s v="Asistio "/>
    <n v="32"/>
    <x v="1"/>
    <x v="11"/>
    <x v="5"/>
    <x v="0"/>
    <x v="2"/>
    <x v="1"/>
    <x v="0"/>
    <x v="1"/>
    <s v="Si"/>
    <n v="1"/>
    <n v="72998"/>
  </r>
  <r>
    <n v="60000389"/>
    <x v="34"/>
    <x v="1"/>
    <x v="0"/>
    <x v="8"/>
    <s v="Asistio "/>
    <n v="12"/>
    <x v="2"/>
    <x v="10"/>
    <x v="10"/>
    <x v="18"/>
    <x v="2"/>
    <x v="0"/>
    <x v="0"/>
    <x v="1"/>
    <s v="No"/>
    <n v="0"/>
    <n v="66477"/>
  </r>
  <r>
    <n v="60000390"/>
    <x v="26"/>
    <x v="1"/>
    <x v="1"/>
    <x v="6"/>
    <s v="Asistio "/>
    <n v="13"/>
    <x v="2"/>
    <x v="6"/>
    <x v="8"/>
    <x v="19"/>
    <x v="2"/>
    <x v="1"/>
    <x v="0"/>
    <x v="0"/>
    <s v="Si"/>
    <n v="7"/>
    <n v="48518"/>
  </r>
  <r>
    <n v="60000391"/>
    <x v="28"/>
    <x v="0"/>
    <x v="0"/>
    <x v="9"/>
    <s v="Asistio "/>
    <n v="14"/>
    <x v="2"/>
    <x v="14"/>
    <x v="12"/>
    <x v="5"/>
    <x v="1"/>
    <x v="1"/>
    <x v="0"/>
    <x v="0"/>
    <s v="Si"/>
    <n v="4"/>
    <n v="34127"/>
  </r>
  <r>
    <n v="60000392"/>
    <x v="20"/>
    <x v="0"/>
    <x v="0"/>
    <x v="5"/>
    <s v="Asistio "/>
    <n v="21"/>
    <x v="0"/>
    <x v="1"/>
    <x v="8"/>
    <x v="1"/>
    <x v="0"/>
    <x v="1"/>
    <x v="0"/>
    <x v="0"/>
    <s v="No"/>
    <n v="0"/>
    <n v="64482"/>
  </r>
  <r>
    <n v="60000393"/>
    <x v="34"/>
    <x v="1"/>
    <x v="1"/>
    <x v="7"/>
    <s v="Asistio "/>
    <n v="21"/>
    <x v="0"/>
    <x v="10"/>
    <x v="2"/>
    <x v="29"/>
    <x v="1"/>
    <x v="1"/>
    <x v="0"/>
    <x v="1"/>
    <s v="Si"/>
    <n v="6"/>
    <n v="54672"/>
  </r>
  <r>
    <n v="60000394"/>
    <x v="30"/>
    <x v="1"/>
    <x v="1"/>
    <x v="3"/>
    <s v="Asistio "/>
    <n v="17"/>
    <x v="2"/>
    <x v="8"/>
    <x v="8"/>
    <x v="0"/>
    <x v="2"/>
    <x v="0"/>
    <x v="0"/>
    <x v="1"/>
    <s v="Si"/>
    <n v="4"/>
    <n v="51554"/>
  </r>
  <r>
    <n v="60000395"/>
    <x v="45"/>
    <x v="1"/>
    <x v="0"/>
    <x v="8"/>
    <s v="Asistio "/>
    <n v="37"/>
    <x v="1"/>
    <x v="7"/>
    <x v="1"/>
    <x v="11"/>
    <x v="0"/>
    <x v="1"/>
    <x v="1"/>
    <x v="1"/>
    <s v="No"/>
    <n v="0"/>
    <n v="44090"/>
  </r>
  <r>
    <n v="60000396"/>
    <x v="10"/>
    <x v="0"/>
    <x v="1"/>
    <x v="6"/>
    <s v="Asistio "/>
    <n v="23"/>
    <x v="0"/>
    <x v="7"/>
    <x v="0"/>
    <x v="11"/>
    <x v="0"/>
    <x v="1"/>
    <x v="0"/>
    <x v="1"/>
    <s v="No"/>
    <n v="0"/>
    <n v="81393"/>
  </r>
  <r>
    <n v="60000397"/>
    <x v="34"/>
    <x v="1"/>
    <x v="1"/>
    <x v="2"/>
    <s v="Asistio "/>
    <n v="33"/>
    <x v="1"/>
    <x v="11"/>
    <x v="0"/>
    <x v="14"/>
    <x v="0"/>
    <x v="1"/>
    <x v="0"/>
    <x v="1"/>
    <s v="Si"/>
    <n v="1"/>
    <n v="35847"/>
  </r>
  <r>
    <n v="60000398"/>
    <x v="10"/>
    <x v="1"/>
    <x v="1"/>
    <x v="9"/>
    <s v="Asistio "/>
    <n v="27"/>
    <x v="3"/>
    <x v="11"/>
    <x v="5"/>
    <x v="38"/>
    <x v="0"/>
    <x v="0"/>
    <x v="1"/>
    <x v="1"/>
    <s v="Si"/>
    <n v="3"/>
    <n v="73014"/>
  </r>
  <r>
    <n v="60000399"/>
    <x v="3"/>
    <x v="0"/>
    <x v="0"/>
    <x v="11"/>
    <s v="Asistio "/>
    <n v="16"/>
    <x v="2"/>
    <x v="12"/>
    <x v="6"/>
    <x v="18"/>
    <x v="0"/>
    <x v="1"/>
    <x v="0"/>
    <x v="0"/>
    <s v="Si"/>
    <n v="2"/>
    <n v="48965"/>
  </r>
  <r>
    <n v="60000400"/>
    <x v="35"/>
    <x v="0"/>
    <x v="0"/>
    <x v="10"/>
    <s v="Asistio "/>
    <n v="15"/>
    <x v="2"/>
    <x v="12"/>
    <x v="8"/>
    <x v="10"/>
    <x v="1"/>
    <x v="1"/>
    <x v="1"/>
    <x v="1"/>
    <s v="No"/>
    <n v="0"/>
    <n v="23504"/>
  </r>
  <r>
    <n v="60000401"/>
    <x v="5"/>
    <x v="0"/>
    <x v="0"/>
    <x v="3"/>
    <s v="Asistio "/>
    <n v="12"/>
    <x v="2"/>
    <x v="4"/>
    <x v="3"/>
    <x v="37"/>
    <x v="0"/>
    <x v="1"/>
    <x v="1"/>
    <x v="0"/>
    <s v="No"/>
    <n v="0"/>
    <n v="28997"/>
  </r>
  <r>
    <n v="60000402"/>
    <x v="35"/>
    <x v="1"/>
    <x v="1"/>
    <x v="6"/>
    <s v="Asistio "/>
    <n v="37"/>
    <x v="1"/>
    <x v="3"/>
    <x v="2"/>
    <x v="7"/>
    <x v="0"/>
    <x v="1"/>
    <x v="0"/>
    <x v="1"/>
    <s v="Si"/>
    <n v="0"/>
    <n v="29285"/>
  </r>
  <r>
    <n v="60000403"/>
    <x v="6"/>
    <x v="0"/>
    <x v="0"/>
    <x v="11"/>
    <s v="Asistio "/>
    <n v="14"/>
    <x v="2"/>
    <x v="3"/>
    <x v="2"/>
    <x v="16"/>
    <x v="2"/>
    <x v="0"/>
    <x v="0"/>
    <x v="0"/>
    <s v="No"/>
    <n v="0"/>
    <n v="47552"/>
  </r>
  <r>
    <n v="60000404"/>
    <x v="9"/>
    <x v="1"/>
    <x v="0"/>
    <x v="7"/>
    <s v="Asistio "/>
    <n v="36"/>
    <x v="1"/>
    <x v="11"/>
    <x v="5"/>
    <x v="43"/>
    <x v="2"/>
    <x v="1"/>
    <x v="1"/>
    <x v="1"/>
    <s v="Si"/>
    <n v="7"/>
    <n v="69505"/>
  </r>
  <r>
    <n v="60000405"/>
    <x v="17"/>
    <x v="0"/>
    <x v="1"/>
    <x v="6"/>
    <s v="Asistio "/>
    <n v="12"/>
    <x v="2"/>
    <x v="11"/>
    <x v="0"/>
    <x v="19"/>
    <x v="2"/>
    <x v="1"/>
    <x v="0"/>
    <x v="1"/>
    <s v="No"/>
    <n v="0"/>
    <n v="67632"/>
  </r>
  <r>
    <n v="60000406"/>
    <x v="35"/>
    <x v="1"/>
    <x v="0"/>
    <x v="0"/>
    <s v="Asistio "/>
    <n v="21"/>
    <x v="0"/>
    <x v="9"/>
    <x v="11"/>
    <x v="40"/>
    <x v="1"/>
    <x v="0"/>
    <x v="0"/>
    <x v="0"/>
    <s v="No"/>
    <n v="0"/>
    <n v="60132"/>
  </r>
  <r>
    <n v="60000407"/>
    <x v="43"/>
    <x v="1"/>
    <x v="1"/>
    <x v="8"/>
    <s v="Asistio "/>
    <n v="38"/>
    <x v="1"/>
    <x v="1"/>
    <x v="4"/>
    <x v="48"/>
    <x v="0"/>
    <x v="1"/>
    <x v="0"/>
    <x v="1"/>
    <s v="Si"/>
    <n v="6"/>
    <n v="81351"/>
  </r>
  <r>
    <n v="60000408"/>
    <x v="40"/>
    <x v="0"/>
    <x v="0"/>
    <x v="7"/>
    <s v="Asistio "/>
    <n v="32"/>
    <x v="1"/>
    <x v="1"/>
    <x v="12"/>
    <x v="10"/>
    <x v="0"/>
    <x v="1"/>
    <x v="1"/>
    <x v="1"/>
    <s v="Si"/>
    <n v="1"/>
    <n v="56880"/>
  </r>
  <r>
    <n v="60000409"/>
    <x v="28"/>
    <x v="1"/>
    <x v="1"/>
    <x v="0"/>
    <s v="Asistio "/>
    <n v="30"/>
    <x v="3"/>
    <x v="3"/>
    <x v="7"/>
    <x v="18"/>
    <x v="1"/>
    <x v="0"/>
    <x v="0"/>
    <x v="0"/>
    <s v="Si"/>
    <n v="1"/>
    <n v="58453"/>
  </r>
  <r>
    <n v="60000410"/>
    <x v="27"/>
    <x v="1"/>
    <x v="1"/>
    <x v="5"/>
    <s v="Asistio "/>
    <n v="20"/>
    <x v="0"/>
    <x v="6"/>
    <x v="10"/>
    <x v="39"/>
    <x v="1"/>
    <x v="0"/>
    <x v="0"/>
    <x v="1"/>
    <s v="Si"/>
    <n v="5"/>
    <n v="67984"/>
  </r>
  <r>
    <n v="60000411"/>
    <x v="18"/>
    <x v="0"/>
    <x v="0"/>
    <x v="10"/>
    <s v="Asistio "/>
    <n v="32"/>
    <x v="1"/>
    <x v="12"/>
    <x v="10"/>
    <x v="42"/>
    <x v="0"/>
    <x v="1"/>
    <x v="0"/>
    <x v="0"/>
    <s v="Si"/>
    <n v="1"/>
    <n v="72612"/>
  </r>
  <r>
    <n v="60000412"/>
    <x v="38"/>
    <x v="1"/>
    <x v="1"/>
    <x v="1"/>
    <s v="Asistio "/>
    <n v="33"/>
    <x v="1"/>
    <x v="10"/>
    <x v="7"/>
    <x v="13"/>
    <x v="2"/>
    <x v="1"/>
    <x v="0"/>
    <x v="1"/>
    <s v="No"/>
    <n v="0"/>
    <n v="27132"/>
  </r>
  <r>
    <n v="60000413"/>
    <x v="24"/>
    <x v="0"/>
    <x v="1"/>
    <x v="3"/>
    <s v="Asistio "/>
    <n v="36"/>
    <x v="1"/>
    <x v="7"/>
    <x v="12"/>
    <x v="31"/>
    <x v="0"/>
    <x v="1"/>
    <x v="0"/>
    <x v="0"/>
    <s v="No"/>
    <n v="0"/>
    <n v="42131"/>
  </r>
  <r>
    <n v="60000414"/>
    <x v="21"/>
    <x v="1"/>
    <x v="0"/>
    <x v="4"/>
    <s v="Asistio "/>
    <n v="21"/>
    <x v="0"/>
    <x v="3"/>
    <x v="4"/>
    <x v="33"/>
    <x v="1"/>
    <x v="1"/>
    <x v="1"/>
    <x v="0"/>
    <s v="Si"/>
    <n v="4"/>
    <n v="31293"/>
  </r>
  <r>
    <n v="60000415"/>
    <x v="43"/>
    <x v="0"/>
    <x v="0"/>
    <x v="8"/>
    <s v="Asistio "/>
    <n v="28"/>
    <x v="3"/>
    <x v="15"/>
    <x v="10"/>
    <x v="13"/>
    <x v="0"/>
    <x v="0"/>
    <x v="1"/>
    <x v="0"/>
    <s v="Si"/>
    <n v="4"/>
    <n v="50744"/>
  </r>
  <r>
    <n v="60000416"/>
    <x v="27"/>
    <x v="0"/>
    <x v="1"/>
    <x v="7"/>
    <s v="Asistio "/>
    <n v="30"/>
    <x v="3"/>
    <x v="5"/>
    <x v="10"/>
    <x v="1"/>
    <x v="2"/>
    <x v="0"/>
    <x v="1"/>
    <x v="1"/>
    <s v="No"/>
    <n v="0"/>
    <n v="27824"/>
  </r>
  <r>
    <n v="60000417"/>
    <x v="3"/>
    <x v="0"/>
    <x v="1"/>
    <x v="3"/>
    <s v="Asistio "/>
    <n v="19"/>
    <x v="0"/>
    <x v="9"/>
    <x v="7"/>
    <x v="48"/>
    <x v="0"/>
    <x v="1"/>
    <x v="0"/>
    <x v="1"/>
    <s v="Si"/>
    <n v="3"/>
    <n v="37576"/>
  </r>
  <r>
    <n v="60000418"/>
    <x v="8"/>
    <x v="0"/>
    <x v="0"/>
    <x v="7"/>
    <s v="Asistio "/>
    <n v="20"/>
    <x v="0"/>
    <x v="12"/>
    <x v="11"/>
    <x v="21"/>
    <x v="0"/>
    <x v="0"/>
    <x v="1"/>
    <x v="0"/>
    <s v="No"/>
    <n v="0"/>
    <n v="28458"/>
  </r>
  <r>
    <n v="60000419"/>
    <x v="38"/>
    <x v="0"/>
    <x v="1"/>
    <x v="10"/>
    <s v="Asistio "/>
    <n v="18"/>
    <x v="2"/>
    <x v="6"/>
    <x v="10"/>
    <x v="11"/>
    <x v="1"/>
    <x v="1"/>
    <x v="0"/>
    <x v="0"/>
    <s v="No"/>
    <n v="0"/>
    <n v="23995"/>
  </r>
  <r>
    <n v="60000420"/>
    <x v="19"/>
    <x v="1"/>
    <x v="0"/>
    <x v="3"/>
    <s v="Asistio "/>
    <n v="26"/>
    <x v="3"/>
    <x v="12"/>
    <x v="4"/>
    <x v="2"/>
    <x v="1"/>
    <x v="1"/>
    <x v="1"/>
    <x v="1"/>
    <s v="Si"/>
    <n v="5"/>
    <n v="23626"/>
  </r>
  <r>
    <n v="60000421"/>
    <x v="4"/>
    <x v="1"/>
    <x v="1"/>
    <x v="5"/>
    <s v="Asistio "/>
    <n v="10"/>
    <x v="4"/>
    <x v="5"/>
    <x v="0"/>
    <x v="43"/>
    <x v="2"/>
    <x v="0"/>
    <x v="1"/>
    <x v="1"/>
    <s v="Si"/>
    <n v="5"/>
    <n v="24556"/>
  </r>
  <r>
    <n v="60000422"/>
    <x v="26"/>
    <x v="0"/>
    <x v="0"/>
    <x v="8"/>
    <s v="Asistio "/>
    <n v="12"/>
    <x v="2"/>
    <x v="14"/>
    <x v="1"/>
    <x v="30"/>
    <x v="2"/>
    <x v="1"/>
    <x v="1"/>
    <x v="1"/>
    <s v="Si"/>
    <n v="7"/>
    <n v="36555"/>
  </r>
  <r>
    <n v="60000423"/>
    <x v="7"/>
    <x v="1"/>
    <x v="0"/>
    <x v="10"/>
    <s v="Asistio "/>
    <n v="30"/>
    <x v="3"/>
    <x v="12"/>
    <x v="6"/>
    <x v="36"/>
    <x v="1"/>
    <x v="0"/>
    <x v="1"/>
    <x v="0"/>
    <s v="No"/>
    <n v="0"/>
    <n v="61440"/>
  </r>
  <r>
    <n v="60000424"/>
    <x v="16"/>
    <x v="1"/>
    <x v="1"/>
    <x v="0"/>
    <s v="Asistio "/>
    <n v="16"/>
    <x v="2"/>
    <x v="8"/>
    <x v="12"/>
    <x v="4"/>
    <x v="1"/>
    <x v="1"/>
    <x v="1"/>
    <x v="1"/>
    <s v="Si"/>
    <n v="7"/>
    <n v="38307"/>
  </r>
  <r>
    <n v="60000425"/>
    <x v="18"/>
    <x v="1"/>
    <x v="0"/>
    <x v="7"/>
    <s v="Asistio "/>
    <n v="24"/>
    <x v="0"/>
    <x v="10"/>
    <x v="4"/>
    <x v="10"/>
    <x v="0"/>
    <x v="0"/>
    <x v="0"/>
    <x v="0"/>
    <s v="No"/>
    <n v="0"/>
    <n v="49359"/>
  </r>
  <r>
    <n v="60000426"/>
    <x v="8"/>
    <x v="1"/>
    <x v="1"/>
    <x v="0"/>
    <s v="Asistio "/>
    <n v="10"/>
    <x v="4"/>
    <x v="6"/>
    <x v="10"/>
    <x v="44"/>
    <x v="2"/>
    <x v="1"/>
    <x v="0"/>
    <x v="0"/>
    <s v="Si"/>
    <n v="4"/>
    <n v="73142"/>
  </r>
  <r>
    <n v="60000427"/>
    <x v="9"/>
    <x v="1"/>
    <x v="1"/>
    <x v="11"/>
    <s v="Asistio "/>
    <n v="22"/>
    <x v="0"/>
    <x v="16"/>
    <x v="6"/>
    <x v="2"/>
    <x v="0"/>
    <x v="1"/>
    <x v="0"/>
    <x v="0"/>
    <s v="Si"/>
    <n v="4"/>
    <n v="36101"/>
  </r>
  <r>
    <n v="60000428"/>
    <x v="20"/>
    <x v="1"/>
    <x v="1"/>
    <x v="1"/>
    <s v="Asistio "/>
    <n v="35"/>
    <x v="1"/>
    <x v="0"/>
    <x v="11"/>
    <x v="8"/>
    <x v="1"/>
    <x v="1"/>
    <x v="1"/>
    <x v="1"/>
    <s v="Si"/>
    <n v="5"/>
    <n v="25090"/>
  </r>
  <r>
    <n v="60000429"/>
    <x v="43"/>
    <x v="0"/>
    <x v="1"/>
    <x v="7"/>
    <s v="Asistio "/>
    <n v="33"/>
    <x v="1"/>
    <x v="13"/>
    <x v="5"/>
    <x v="1"/>
    <x v="1"/>
    <x v="1"/>
    <x v="0"/>
    <x v="1"/>
    <s v="No"/>
    <n v="0"/>
    <n v="41042"/>
  </r>
  <r>
    <n v="60000430"/>
    <x v="11"/>
    <x v="0"/>
    <x v="1"/>
    <x v="11"/>
    <s v="Asistio "/>
    <n v="21"/>
    <x v="0"/>
    <x v="13"/>
    <x v="1"/>
    <x v="23"/>
    <x v="0"/>
    <x v="1"/>
    <x v="0"/>
    <x v="0"/>
    <s v="No"/>
    <n v="0"/>
    <n v="60451"/>
  </r>
  <r>
    <n v="60000431"/>
    <x v="27"/>
    <x v="0"/>
    <x v="1"/>
    <x v="0"/>
    <s v="Asistio "/>
    <n v="12"/>
    <x v="2"/>
    <x v="10"/>
    <x v="9"/>
    <x v="47"/>
    <x v="0"/>
    <x v="1"/>
    <x v="0"/>
    <x v="1"/>
    <s v="Si"/>
    <n v="6"/>
    <n v="26178"/>
  </r>
  <r>
    <n v="60000432"/>
    <x v="10"/>
    <x v="1"/>
    <x v="0"/>
    <x v="2"/>
    <s v="Asistio "/>
    <n v="22"/>
    <x v="0"/>
    <x v="14"/>
    <x v="5"/>
    <x v="8"/>
    <x v="0"/>
    <x v="1"/>
    <x v="1"/>
    <x v="1"/>
    <s v="Si"/>
    <n v="1"/>
    <n v="57367"/>
  </r>
  <r>
    <n v="60000433"/>
    <x v="11"/>
    <x v="0"/>
    <x v="1"/>
    <x v="10"/>
    <s v="Asistio "/>
    <n v="33"/>
    <x v="1"/>
    <x v="3"/>
    <x v="11"/>
    <x v="15"/>
    <x v="2"/>
    <x v="1"/>
    <x v="0"/>
    <x v="1"/>
    <s v="No"/>
    <n v="0"/>
    <n v="70761"/>
  </r>
  <r>
    <n v="60000434"/>
    <x v="37"/>
    <x v="0"/>
    <x v="0"/>
    <x v="9"/>
    <s v="Asistio "/>
    <n v="13"/>
    <x v="2"/>
    <x v="6"/>
    <x v="8"/>
    <x v="17"/>
    <x v="0"/>
    <x v="0"/>
    <x v="0"/>
    <x v="1"/>
    <s v="Si"/>
    <n v="2"/>
    <n v="26855"/>
  </r>
  <r>
    <n v="60000435"/>
    <x v="19"/>
    <x v="1"/>
    <x v="0"/>
    <x v="7"/>
    <s v="Asistio "/>
    <n v="33"/>
    <x v="1"/>
    <x v="0"/>
    <x v="6"/>
    <x v="8"/>
    <x v="2"/>
    <x v="0"/>
    <x v="0"/>
    <x v="1"/>
    <s v="No"/>
    <n v="0"/>
    <n v="78889"/>
  </r>
  <r>
    <n v="60000436"/>
    <x v="29"/>
    <x v="1"/>
    <x v="0"/>
    <x v="0"/>
    <s v="Asistio "/>
    <n v="38"/>
    <x v="1"/>
    <x v="8"/>
    <x v="11"/>
    <x v="19"/>
    <x v="1"/>
    <x v="0"/>
    <x v="0"/>
    <x v="0"/>
    <s v="Si"/>
    <n v="3"/>
    <n v="34581"/>
  </r>
  <r>
    <n v="60000437"/>
    <x v="18"/>
    <x v="0"/>
    <x v="1"/>
    <x v="10"/>
    <s v="Asistio "/>
    <n v="37"/>
    <x v="1"/>
    <x v="7"/>
    <x v="9"/>
    <x v="26"/>
    <x v="0"/>
    <x v="0"/>
    <x v="0"/>
    <x v="0"/>
    <s v="No"/>
    <n v="0"/>
    <n v="38750"/>
  </r>
  <r>
    <n v="60000438"/>
    <x v="23"/>
    <x v="0"/>
    <x v="1"/>
    <x v="6"/>
    <s v="Asistio "/>
    <n v="15"/>
    <x v="2"/>
    <x v="1"/>
    <x v="8"/>
    <x v="31"/>
    <x v="0"/>
    <x v="1"/>
    <x v="1"/>
    <x v="1"/>
    <s v="Si"/>
    <n v="3"/>
    <n v="27003"/>
  </r>
  <r>
    <n v="60000439"/>
    <x v="12"/>
    <x v="1"/>
    <x v="0"/>
    <x v="5"/>
    <s v="Asistio "/>
    <n v="10"/>
    <x v="4"/>
    <x v="1"/>
    <x v="6"/>
    <x v="33"/>
    <x v="1"/>
    <x v="0"/>
    <x v="1"/>
    <x v="1"/>
    <s v="Si"/>
    <n v="7"/>
    <n v="35593"/>
  </r>
  <r>
    <n v="60000440"/>
    <x v="9"/>
    <x v="0"/>
    <x v="0"/>
    <x v="10"/>
    <s v="Recargo"/>
    <n v="18"/>
    <x v="2"/>
    <x v="6"/>
    <x v="0"/>
    <x v="18"/>
    <x v="2"/>
    <x v="0"/>
    <x v="1"/>
    <x v="0"/>
    <s v="Si"/>
    <n v="4"/>
    <n v="54011"/>
  </r>
  <r>
    <n v="60000441"/>
    <x v="12"/>
    <x v="0"/>
    <x v="0"/>
    <x v="11"/>
    <s v="Recargo"/>
    <n v="10"/>
    <x v="4"/>
    <x v="8"/>
    <x v="8"/>
    <x v="3"/>
    <x v="2"/>
    <x v="1"/>
    <x v="1"/>
    <x v="0"/>
    <s v="Si"/>
    <n v="0"/>
    <n v="39860"/>
  </r>
  <r>
    <n v="60000442"/>
    <x v="35"/>
    <x v="1"/>
    <x v="1"/>
    <x v="11"/>
    <s v="Asistio "/>
    <n v="35"/>
    <x v="1"/>
    <x v="7"/>
    <x v="1"/>
    <x v="20"/>
    <x v="0"/>
    <x v="0"/>
    <x v="0"/>
    <x v="0"/>
    <s v="No"/>
    <n v="0"/>
    <n v="78921"/>
  </r>
  <r>
    <n v="60000443"/>
    <x v="36"/>
    <x v="1"/>
    <x v="1"/>
    <x v="0"/>
    <s v="Asistio "/>
    <n v="37"/>
    <x v="1"/>
    <x v="15"/>
    <x v="4"/>
    <x v="17"/>
    <x v="0"/>
    <x v="1"/>
    <x v="0"/>
    <x v="1"/>
    <s v="Si"/>
    <n v="3"/>
    <n v="49834"/>
  </r>
  <r>
    <n v="60000444"/>
    <x v="28"/>
    <x v="1"/>
    <x v="0"/>
    <x v="7"/>
    <s v="Ausente"/>
    <n v="19"/>
    <x v="0"/>
    <x v="9"/>
    <x v="10"/>
    <x v="20"/>
    <x v="2"/>
    <x v="1"/>
    <x v="1"/>
    <x v="1"/>
    <s v="No"/>
    <n v="0"/>
    <n v="37822"/>
  </r>
  <r>
    <n v="60000445"/>
    <x v="32"/>
    <x v="0"/>
    <x v="1"/>
    <x v="5"/>
    <s v="Asistio "/>
    <n v="30"/>
    <x v="3"/>
    <x v="7"/>
    <x v="3"/>
    <x v="24"/>
    <x v="2"/>
    <x v="1"/>
    <x v="1"/>
    <x v="1"/>
    <s v="No"/>
    <n v="0"/>
    <n v="38296"/>
  </r>
  <r>
    <n v="60000446"/>
    <x v="34"/>
    <x v="1"/>
    <x v="1"/>
    <x v="3"/>
    <s v="Asistio "/>
    <n v="14"/>
    <x v="2"/>
    <x v="2"/>
    <x v="4"/>
    <x v="20"/>
    <x v="1"/>
    <x v="1"/>
    <x v="1"/>
    <x v="1"/>
    <s v="Si"/>
    <n v="0"/>
    <n v="78541"/>
  </r>
  <r>
    <n v="60000447"/>
    <x v="11"/>
    <x v="0"/>
    <x v="1"/>
    <x v="6"/>
    <s v="Ausente"/>
    <n v="30"/>
    <x v="3"/>
    <x v="1"/>
    <x v="10"/>
    <x v="32"/>
    <x v="0"/>
    <x v="1"/>
    <x v="1"/>
    <x v="0"/>
    <s v="No"/>
    <n v="0"/>
    <n v="79092"/>
  </r>
  <r>
    <n v="60000448"/>
    <x v="15"/>
    <x v="0"/>
    <x v="1"/>
    <x v="2"/>
    <s v="Recargo"/>
    <n v="18"/>
    <x v="2"/>
    <x v="8"/>
    <x v="9"/>
    <x v="31"/>
    <x v="0"/>
    <x v="1"/>
    <x v="1"/>
    <x v="0"/>
    <s v="Si"/>
    <n v="7"/>
    <n v="76003"/>
  </r>
  <r>
    <n v="60000449"/>
    <x v="34"/>
    <x v="1"/>
    <x v="0"/>
    <x v="10"/>
    <s v="Asistio "/>
    <n v="34"/>
    <x v="1"/>
    <x v="13"/>
    <x v="6"/>
    <x v="7"/>
    <x v="2"/>
    <x v="1"/>
    <x v="1"/>
    <x v="1"/>
    <s v="Si"/>
    <n v="6"/>
    <n v="46543"/>
  </r>
  <r>
    <n v="60000450"/>
    <x v="11"/>
    <x v="1"/>
    <x v="1"/>
    <x v="10"/>
    <s v="Asistio "/>
    <n v="18"/>
    <x v="2"/>
    <x v="0"/>
    <x v="7"/>
    <x v="37"/>
    <x v="1"/>
    <x v="1"/>
    <x v="0"/>
    <x v="1"/>
    <s v="No"/>
    <n v="0"/>
    <n v="81088"/>
  </r>
  <r>
    <n v="60000451"/>
    <x v="24"/>
    <x v="1"/>
    <x v="1"/>
    <x v="4"/>
    <s v="Asistio "/>
    <n v="32"/>
    <x v="1"/>
    <x v="12"/>
    <x v="1"/>
    <x v="20"/>
    <x v="1"/>
    <x v="1"/>
    <x v="1"/>
    <x v="1"/>
    <s v="Si"/>
    <n v="1"/>
    <n v="69209"/>
  </r>
  <r>
    <n v="60000452"/>
    <x v="26"/>
    <x v="0"/>
    <x v="1"/>
    <x v="4"/>
    <s v="Ausente"/>
    <n v="31"/>
    <x v="3"/>
    <x v="4"/>
    <x v="0"/>
    <x v="9"/>
    <x v="2"/>
    <x v="0"/>
    <x v="0"/>
    <x v="0"/>
    <s v="Si"/>
    <n v="2"/>
    <n v="33431"/>
  </r>
  <r>
    <n v="60000453"/>
    <x v="2"/>
    <x v="0"/>
    <x v="0"/>
    <x v="9"/>
    <s v="Ausente"/>
    <n v="17"/>
    <x v="2"/>
    <x v="11"/>
    <x v="12"/>
    <x v="20"/>
    <x v="1"/>
    <x v="1"/>
    <x v="0"/>
    <x v="1"/>
    <s v="Si"/>
    <n v="0"/>
    <n v="59716"/>
  </r>
  <r>
    <n v="60000454"/>
    <x v="5"/>
    <x v="0"/>
    <x v="0"/>
    <x v="9"/>
    <s v="Ausente"/>
    <n v="32"/>
    <x v="1"/>
    <x v="2"/>
    <x v="5"/>
    <x v="19"/>
    <x v="1"/>
    <x v="0"/>
    <x v="1"/>
    <x v="0"/>
    <s v="Si"/>
    <n v="4"/>
    <n v="84839"/>
  </r>
  <r>
    <n v="60000455"/>
    <x v="21"/>
    <x v="1"/>
    <x v="1"/>
    <x v="1"/>
    <s v="Recargo"/>
    <n v="35"/>
    <x v="1"/>
    <x v="7"/>
    <x v="0"/>
    <x v="15"/>
    <x v="0"/>
    <x v="1"/>
    <x v="1"/>
    <x v="1"/>
    <s v="No"/>
    <n v="0"/>
    <n v="52981"/>
  </r>
  <r>
    <n v="60000456"/>
    <x v="5"/>
    <x v="0"/>
    <x v="0"/>
    <x v="9"/>
    <s v="Asistio "/>
    <n v="25"/>
    <x v="3"/>
    <x v="5"/>
    <x v="7"/>
    <x v="49"/>
    <x v="0"/>
    <x v="0"/>
    <x v="0"/>
    <x v="0"/>
    <s v="No"/>
    <n v="0"/>
    <n v="75264"/>
  </r>
  <r>
    <n v="60000457"/>
    <x v="27"/>
    <x v="0"/>
    <x v="1"/>
    <x v="9"/>
    <s v="Ausente"/>
    <n v="17"/>
    <x v="2"/>
    <x v="11"/>
    <x v="7"/>
    <x v="22"/>
    <x v="2"/>
    <x v="0"/>
    <x v="1"/>
    <x v="1"/>
    <s v="No"/>
    <n v="0"/>
    <n v="40112"/>
  </r>
  <r>
    <n v="60000458"/>
    <x v="10"/>
    <x v="0"/>
    <x v="1"/>
    <x v="1"/>
    <s v="Recargo"/>
    <n v="32"/>
    <x v="1"/>
    <x v="4"/>
    <x v="3"/>
    <x v="6"/>
    <x v="2"/>
    <x v="1"/>
    <x v="0"/>
    <x v="0"/>
    <s v="Si"/>
    <n v="1"/>
    <n v="35550"/>
  </r>
  <r>
    <n v="60000459"/>
    <x v="12"/>
    <x v="1"/>
    <x v="1"/>
    <x v="11"/>
    <s v="Recargo"/>
    <n v="13"/>
    <x v="2"/>
    <x v="3"/>
    <x v="5"/>
    <x v="33"/>
    <x v="0"/>
    <x v="0"/>
    <x v="1"/>
    <x v="0"/>
    <s v="No"/>
    <n v="0"/>
    <n v="31234"/>
  </r>
  <r>
    <n v="60000460"/>
    <x v="0"/>
    <x v="0"/>
    <x v="0"/>
    <x v="11"/>
    <s v="Asistio "/>
    <n v="15"/>
    <x v="2"/>
    <x v="12"/>
    <x v="4"/>
    <x v="15"/>
    <x v="0"/>
    <x v="0"/>
    <x v="0"/>
    <x v="1"/>
    <s v="Si"/>
    <n v="5"/>
    <n v="47650"/>
  </r>
  <r>
    <n v="60000461"/>
    <x v="4"/>
    <x v="0"/>
    <x v="0"/>
    <x v="8"/>
    <s v="Recargo"/>
    <n v="29"/>
    <x v="3"/>
    <x v="5"/>
    <x v="0"/>
    <x v="6"/>
    <x v="1"/>
    <x v="1"/>
    <x v="1"/>
    <x v="0"/>
    <s v="No"/>
    <n v="0"/>
    <n v="74390"/>
  </r>
  <r>
    <n v="60000462"/>
    <x v="33"/>
    <x v="1"/>
    <x v="1"/>
    <x v="4"/>
    <s v="Ausente"/>
    <n v="27"/>
    <x v="3"/>
    <x v="10"/>
    <x v="7"/>
    <x v="21"/>
    <x v="2"/>
    <x v="1"/>
    <x v="1"/>
    <x v="0"/>
    <s v="Si"/>
    <n v="1"/>
    <n v="31964"/>
  </r>
  <r>
    <n v="60000463"/>
    <x v="40"/>
    <x v="1"/>
    <x v="1"/>
    <x v="5"/>
    <s v="Ausente"/>
    <n v="18"/>
    <x v="2"/>
    <x v="3"/>
    <x v="11"/>
    <x v="29"/>
    <x v="2"/>
    <x v="0"/>
    <x v="1"/>
    <x v="0"/>
    <s v="No"/>
    <n v="0"/>
    <n v="36758"/>
  </r>
  <r>
    <n v="60000464"/>
    <x v="11"/>
    <x v="0"/>
    <x v="1"/>
    <x v="10"/>
    <s v="Asistio "/>
    <n v="20"/>
    <x v="0"/>
    <x v="3"/>
    <x v="8"/>
    <x v="11"/>
    <x v="1"/>
    <x v="0"/>
    <x v="0"/>
    <x v="1"/>
    <s v="Si"/>
    <n v="3"/>
    <n v="74360"/>
  </r>
  <r>
    <n v="60000465"/>
    <x v="42"/>
    <x v="1"/>
    <x v="1"/>
    <x v="6"/>
    <s v="Ausente"/>
    <n v="15"/>
    <x v="2"/>
    <x v="2"/>
    <x v="7"/>
    <x v="36"/>
    <x v="2"/>
    <x v="0"/>
    <x v="0"/>
    <x v="1"/>
    <s v="Si"/>
    <n v="6"/>
    <n v="38342"/>
  </r>
  <r>
    <n v="60000466"/>
    <x v="8"/>
    <x v="1"/>
    <x v="0"/>
    <x v="5"/>
    <s v="Ausente"/>
    <n v="25"/>
    <x v="3"/>
    <x v="5"/>
    <x v="3"/>
    <x v="7"/>
    <x v="2"/>
    <x v="0"/>
    <x v="1"/>
    <x v="0"/>
    <s v="No"/>
    <n v="0"/>
    <n v="23348"/>
  </r>
  <r>
    <n v="60000467"/>
    <x v="26"/>
    <x v="1"/>
    <x v="0"/>
    <x v="4"/>
    <s v="Ausente"/>
    <n v="10"/>
    <x v="4"/>
    <x v="1"/>
    <x v="9"/>
    <x v="27"/>
    <x v="2"/>
    <x v="1"/>
    <x v="1"/>
    <x v="1"/>
    <s v="No"/>
    <n v="0"/>
    <n v="59192"/>
  </r>
  <r>
    <n v="60000468"/>
    <x v="44"/>
    <x v="0"/>
    <x v="0"/>
    <x v="9"/>
    <s v="Asistio "/>
    <n v="13"/>
    <x v="2"/>
    <x v="6"/>
    <x v="1"/>
    <x v="6"/>
    <x v="1"/>
    <x v="0"/>
    <x v="1"/>
    <x v="0"/>
    <s v="Si"/>
    <n v="6"/>
    <n v="84233"/>
  </r>
  <r>
    <n v="60000469"/>
    <x v="42"/>
    <x v="0"/>
    <x v="1"/>
    <x v="3"/>
    <s v="Asistio "/>
    <n v="28"/>
    <x v="3"/>
    <x v="2"/>
    <x v="2"/>
    <x v="19"/>
    <x v="0"/>
    <x v="0"/>
    <x v="1"/>
    <x v="0"/>
    <s v="Si"/>
    <n v="6"/>
    <n v="68066"/>
  </r>
  <r>
    <n v="60000470"/>
    <x v="6"/>
    <x v="1"/>
    <x v="0"/>
    <x v="0"/>
    <s v="Asistio "/>
    <n v="23"/>
    <x v="0"/>
    <x v="13"/>
    <x v="2"/>
    <x v="18"/>
    <x v="2"/>
    <x v="1"/>
    <x v="0"/>
    <x v="1"/>
    <s v="Si"/>
    <n v="6"/>
    <n v="76494"/>
  </r>
  <r>
    <n v="60000471"/>
    <x v="9"/>
    <x v="1"/>
    <x v="0"/>
    <x v="6"/>
    <s v="Recargo"/>
    <n v="13"/>
    <x v="2"/>
    <x v="8"/>
    <x v="12"/>
    <x v="31"/>
    <x v="2"/>
    <x v="1"/>
    <x v="1"/>
    <x v="0"/>
    <s v="Si"/>
    <n v="6"/>
    <n v="34053"/>
  </r>
  <r>
    <n v="60000472"/>
    <x v="30"/>
    <x v="1"/>
    <x v="0"/>
    <x v="3"/>
    <s v="Ausente"/>
    <n v="32"/>
    <x v="1"/>
    <x v="2"/>
    <x v="1"/>
    <x v="40"/>
    <x v="2"/>
    <x v="0"/>
    <x v="0"/>
    <x v="1"/>
    <s v="No"/>
    <n v="0"/>
    <n v="79293"/>
  </r>
  <r>
    <n v="60000473"/>
    <x v="28"/>
    <x v="1"/>
    <x v="1"/>
    <x v="3"/>
    <s v="Ausente"/>
    <n v="23"/>
    <x v="0"/>
    <x v="11"/>
    <x v="1"/>
    <x v="48"/>
    <x v="1"/>
    <x v="1"/>
    <x v="0"/>
    <x v="0"/>
    <s v="No"/>
    <n v="0"/>
    <n v="25683"/>
  </r>
  <r>
    <n v="60000474"/>
    <x v="22"/>
    <x v="1"/>
    <x v="0"/>
    <x v="3"/>
    <s v="Asistio "/>
    <n v="15"/>
    <x v="2"/>
    <x v="16"/>
    <x v="12"/>
    <x v="35"/>
    <x v="2"/>
    <x v="1"/>
    <x v="1"/>
    <x v="0"/>
    <s v="No"/>
    <n v="0"/>
    <n v="57179"/>
  </r>
  <r>
    <n v="60000475"/>
    <x v="30"/>
    <x v="1"/>
    <x v="1"/>
    <x v="10"/>
    <s v="Ausente"/>
    <n v="20"/>
    <x v="0"/>
    <x v="7"/>
    <x v="2"/>
    <x v="46"/>
    <x v="2"/>
    <x v="0"/>
    <x v="1"/>
    <x v="1"/>
    <s v="Si"/>
    <n v="3"/>
    <n v="75455"/>
  </r>
  <r>
    <n v="60000476"/>
    <x v="44"/>
    <x v="1"/>
    <x v="0"/>
    <x v="8"/>
    <s v="Recargo"/>
    <n v="31"/>
    <x v="3"/>
    <x v="7"/>
    <x v="0"/>
    <x v="35"/>
    <x v="1"/>
    <x v="1"/>
    <x v="1"/>
    <x v="0"/>
    <s v="Si"/>
    <n v="3"/>
    <n v="84609"/>
  </r>
  <r>
    <n v="60000477"/>
    <x v="19"/>
    <x v="0"/>
    <x v="1"/>
    <x v="1"/>
    <s v="Ausente"/>
    <n v="11"/>
    <x v="4"/>
    <x v="5"/>
    <x v="2"/>
    <x v="43"/>
    <x v="0"/>
    <x v="1"/>
    <x v="1"/>
    <x v="0"/>
    <s v="Si"/>
    <n v="5"/>
    <n v="55080"/>
  </r>
  <r>
    <n v="60000478"/>
    <x v="45"/>
    <x v="1"/>
    <x v="0"/>
    <x v="6"/>
    <s v="Asistio "/>
    <n v="35"/>
    <x v="1"/>
    <x v="15"/>
    <x v="3"/>
    <x v="19"/>
    <x v="0"/>
    <x v="1"/>
    <x v="0"/>
    <x v="0"/>
    <s v="Si"/>
    <n v="3"/>
    <n v="56686"/>
  </r>
  <r>
    <n v="60000479"/>
    <x v="2"/>
    <x v="1"/>
    <x v="0"/>
    <x v="5"/>
    <s v="Asistio "/>
    <n v="35"/>
    <x v="1"/>
    <x v="10"/>
    <x v="2"/>
    <x v="19"/>
    <x v="0"/>
    <x v="0"/>
    <x v="1"/>
    <x v="1"/>
    <s v="Si"/>
    <n v="5"/>
    <n v="61577"/>
  </r>
  <r>
    <n v="60000480"/>
    <x v="2"/>
    <x v="1"/>
    <x v="0"/>
    <x v="3"/>
    <s v="Ausente"/>
    <n v="20"/>
    <x v="0"/>
    <x v="11"/>
    <x v="1"/>
    <x v="31"/>
    <x v="0"/>
    <x v="1"/>
    <x v="1"/>
    <x v="0"/>
    <s v="No"/>
    <n v="0"/>
    <n v="56751"/>
  </r>
  <r>
    <n v="60000481"/>
    <x v="30"/>
    <x v="0"/>
    <x v="0"/>
    <x v="7"/>
    <s v="Asistio "/>
    <n v="32"/>
    <x v="1"/>
    <x v="4"/>
    <x v="6"/>
    <x v="41"/>
    <x v="1"/>
    <x v="1"/>
    <x v="0"/>
    <x v="0"/>
    <s v="Si"/>
    <n v="3"/>
    <n v="68563"/>
  </r>
  <r>
    <n v="60000482"/>
    <x v="24"/>
    <x v="0"/>
    <x v="0"/>
    <x v="5"/>
    <s v="Asistio "/>
    <n v="31"/>
    <x v="3"/>
    <x v="7"/>
    <x v="1"/>
    <x v="22"/>
    <x v="0"/>
    <x v="0"/>
    <x v="0"/>
    <x v="1"/>
    <s v="Si"/>
    <n v="3"/>
    <n v="71105"/>
  </r>
  <r>
    <n v="60000483"/>
    <x v="21"/>
    <x v="1"/>
    <x v="1"/>
    <x v="8"/>
    <s v="Ausente"/>
    <n v="35"/>
    <x v="1"/>
    <x v="15"/>
    <x v="1"/>
    <x v="4"/>
    <x v="1"/>
    <x v="1"/>
    <x v="1"/>
    <x v="1"/>
    <s v="Si"/>
    <n v="1"/>
    <n v="60253"/>
  </r>
  <r>
    <n v="60000484"/>
    <x v="31"/>
    <x v="1"/>
    <x v="0"/>
    <x v="3"/>
    <s v="Asistio "/>
    <n v="30"/>
    <x v="3"/>
    <x v="1"/>
    <x v="12"/>
    <x v="37"/>
    <x v="1"/>
    <x v="1"/>
    <x v="0"/>
    <x v="0"/>
    <s v="Si"/>
    <n v="1"/>
    <n v="80860"/>
  </r>
  <r>
    <n v="60000485"/>
    <x v="7"/>
    <x v="0"/>
    <x v="1"/>
    <x v="11"/>
    <s v="Asistio "/>
    <n v="11"/>
    <x v="4"/>
    <x v="0"/>
    <x v="12"/>
    <x v="48"/>
    <x v="1"/>
    <x v="1"/>
    <x v="1"/>
    <x v="0"/>
    <s v="No"/>
    <n v="0"/>
    <n v="48374"/>
  </r>
  <r>
    <n v="60000486"/>
    <x v="4"/>
    <x v="0"/>
    <x v="0"/>
    <x v="9"/>
    <s v="Asistio "/>
    <n v="14"/>
    <x v="2"/>
    <x v="11"/>
    <x v="7"/>
    <x v="12"/>
    <x v="2"/>
    <x v="1"/>
    <x v="1"/>
    <x v="1"/>
    <s v="No"/>
    <n v="0"/>
    <n v="51538"/>
  </r>
  <r>
    <n v="60000487"/>
    <x v="3"/>
    <x v="1"/>
    <x v="1"/>
    <x v="4"/>
    <s v="Ausente"/>
    <n v="18"/>
    <x v="2"/>
    <x v="12"/>
    <x v="8"/>
    <x v="45"/>
    <x v="1"/>
    <x v="0"/>
    <x v="0"/>
    <x v="0"/>
    <s v="Si"/>
    <n v="1"/>
    <n v="39944"/>
  </r>
  <r>
    <n v="60000488"/>
    <x v="36"/>
    <x v="0"/>
    <x v="0"/>
    <x v="9"/>
    <s v="Ausente"/>
    <n v="11"/>
    <x v="4"/>
    <x v="16"/>
    <x v="1"/>
    <x v="31"/>
    <x v="0"/>
    <x v="0"/>
    <x v="1"/>
    <x v="0"/>
    <s v="Si"/>
    <n v="2"/>
    <n v="84587"/>
  </r>
  <r>
    <n v="60000489"/>
    <x v="14"/>
    <x v="1"/>
    <x v="1"/>
    <x v="5"/>
    <s v="Recargo"/>
    <n v="36"/>
    <x v="1"/>
    <x v="14"/>
    <x v="6"/>
    <x v="0"/>
    <x v="1"/>
    <x v="0"/>
    <x v="1"/>
    <x v="1"/>
    <s v="Si"/>
    <n v="0"/>
    <n v="30344"/>
  </r>
  <r>
    <n v="60000490"/>
    <x v="25"/>
    <x v="0"/>
    <x v="0"/>
    <x v="9"/>
    <s v="Recargo"/>
    <n v="24"/>
    <x v="0"/>
    <x v="3"/>
    <x v="10"/>
    <x v="17"/>
    <x v="1"/>
    <x v="1"/>
    <x v="0"/>
    <x v="0"/>
    <s v="Si"/>
    <n v="2"/>
    <n v="37773"/>
  </r>
  <r>
    <n v="60000491"/>
    <x v="19"/>
    <x v="1"/>
    <x v="0"/>
    <x v="5"/>
    <s v="Asistio "/>
    <n v="32"/>
    <x v="1"/>
    <x v="14"/>
    <x v="3"/>
    <x v="42"/>
    <x v="1"/>
    <x v="1"/>
    <x v="1"/>
    <x v="0"/>
    <s v="Si"/>
    <n v="7"/>
    <n v="54503"/>
  </r>
  <r>
    <n v="60000492"/>
    <x v="7"/>
    <x v="0"/>
    <x v="0"/>
    <x v="6"/>
    <s v="Recargo"/>
    <n v="17"/>
    <x v="2"/>
    <x v="7"/>
    <x v="7"/>
    <x v="3"/>
    <x v="1"/>
    <x v="0"/>
    <x v="0"/>
    <x v="1"/>
    <s v="Si"/>
    <n v="2"/>
    <n v="69843"/>
  </r>
  <r>
    <n v="60000493"/>
    <x v="6"/>
    <x v="0"/>
    <x v="1"/>
    <x v="10"/>
    <s v="Ausente"/>
    <n v="26"/>
    <x v="3"/>
    <x v="1"/>
    <x v="3"/>
    <x v="32"/>
    <x v="1"/>
    <x v="0"/>
    <x v="1"/>
    <x v="1"/>
    <s v="Si"/>
    <n v="2"/>
    <n v="52179"/>
  </r>
  <r>
    <n v="60000494"/>
    <x v="37"/>
    <x v="0"/>
    <x v="0"/>
    <x v="4"/>
    <s v="Recargo"/>
    <n v="29"/>
    <x v="3"/>
    <x v="9"/>
    <x v="4"/>
    <x v="47"/>
    <x v="0"/>
    <x v="0"/>
    <x v="1"/>
    <x v="1"/>
    <s v="No"/>
    <n v="0"/>
    <n v="74828"/>
  </r>
  <r>
    <n v="60000495"/>
    <x v="18"/>
    <x v="0"/>
    <x v="1"/>
    <x v="7"/>
    <s v="Ausente"/>
    <n v="10"/>
    <x v="4"/>
    <x v="16"/>
    <x v="9"/>
    <x v="24"/>
    <x v="1"/>
    <x v="1"/>
    <x v="1"/>
    <x v="0"/>
    <s v="Si"/>
    <n v="0"/>
    <n v="33616"/>
  </r>
  <r>
    <n v="60000496"/>
    <x v="35"/>
    <x v="0"/>
    <x v="1"/>
    <x v="10"/>
    <s v="Asistio "/>
    <n v="18"/>
    <x v="2"/>
    <x v="4"/>
    <x v="8"/>
    <x v="23"/>
    <x v="2"/>
    <x v="0"/>
    <x v="0"/>
    <x v="0"/>
    <s v="No"/>
    <n v="0"/>
    <n v="26557"/>
  </r>
  <r>
    <n v="60000497"/>
    <x v="10"/>
    <x v="0"/>
    <x v="1"/>
    <x v="4"/>
    <s v="Asistio "/>
    <n v="30"/>
    <x v="3"/>
    <x v="10"/>
    <x v="12"/>
    <x v="14"/>
    <x v="0"/>
    <x v="0"/>
    <x v="1"/>
    <x v="0"/>
    <s v="No"/>
    <n v="0"/>
    <n v="62858"/>
  </r>
  <r>
    <n v="60000498"/>
    <x v="16"/>
    <x v="1"/>
    <x v="1"/>
    <x v="0"/>
    <s v="Asistio "/>
    <n v="33"/>
    <x v="1"/>
    <x v="5"/>
    <x v="2"/>
    <x v="18"/>
    <x v="1"/>
    <x v="1"/>
    <x v="0"/>
    <x v="0"/>
    <s v="Si"/>
    <n v="1"/>
    <n v="61560"/>
  </r>
  <r>
    <n v="60000499"/>
    <x v="9"/>
    <x v="1"/>
    <x v="0"/>
    <x v="0"/>
    <s v="Asistio "/>
    <n v="18"/>
    <x v="2"/>
    <x v="7"/>
    <x v="12"/>
    <x v="30"/>
    <x v="2"/>
    <x v="1"/>
    <x v="0"/>
    <x v="0"/>
    <s v="No"/>
    <n v="0"/>
    <n v="79005"/>
  </r>
  <r>
    <n v="60000500"/>
    <x v="14"/>
    <x v="1"/>
    <x v="1"/>
    <x v="0"/>
    <s v="Ausente"/>
    <n v="28"/>
    <x v="3"/>
    <x v="7"/>
    <x v="4"/>
    <x v="22"/>
    <x v="1"/>
    <x v="1"/>
    <x v="0"/>
    <x v="0"/>
    <s v="No"/>
    <n v="0"/>
    <n v="28323"/>
  </r>
  <r>
    <n v="60000501"/>
    <x v="28"/>
    <x v="1"/>
    <x v="0"/>
    <x v="4"/>
    <s v="Recargo"/>
    <n v="18"/>
    <x v="2"/>
    <x v="15"/>
    <x v="1"/>
    <x v="46"/>
    <x v="2"/>
    <x v="0"/>
    <x v="0"/>
    <x v="1"/>
    <s v="Si"/>
    <n v="4"/>
    <n v="52056"/>
  </r>
  <r>
    <n v="60000502"/>
    <x v="40"/>
    <x v="0"/>
    <x v="1"/>
    <x v="4"/>
    <s v="Ausente"/>
    <n v="31"/>
    <x v="3"/>
    <x v="13"/>
    <x v="3"/>
    <x v="38"/>
    <x v="1"/>
    <x v="1"/>
    <x v="0"/>
    <x v="0"/>
    <s v="No"/>
    <n v="0"/>
    <n v="39339"/>
  </r>
  <r>
    <n v="60000503"/>
    <x v="0"/>
    <x v="1"/>
    <x v="1"/>
    <x v="10"/>
    <s v="Ausente"/>
    <n v="27"/>
    <x v="3"/>
    <x v="10"/>
    <x v="1"/>
    <x v="12"/>
    <x v="1"/>
    <x v="1"/>
    <x v="0"/>
    <x v="1"/>
    <s v="No"/>
    <n v="0"/>
    <n v="41199"/>
  </r>
  <r>
    <n v="60000504"/>
    <x v="0"/>
    <x v="1"/>
    <x v="1"/>
    <x v="11"/>
    <s v="Recargo"/>
    <n v="17"/>
    <x v="2"/>
    <x v="11"/>
    <x v="10"/>
    <x v="24"/>
    <x v="0"/>
    <x v="1"/>
    <x v="0"/>
    <x v="1"/>
    <s v="No"/>
    <n v="0"/>
    <n v="49602"/>
  </r>
  <r>
    <n v="60000505"/>
    <x v="33"/>
    <x v="0"/>
    <x v="1"/>
    <x v="3"/>
    <s v="Ausente"/>
    <n v="20"/>
    <x v="0"/>
    <x v="16"/>
    <x v="4"/>
    <x v="6"/>
    <x v="0"/>
    <x v="1"/>
    <x v="0"/>
    <x v="1"/>
    <s v="No"/>
    <n v="0"/>
    <n v="36760"/>
  </r>
  <r>
    <n v="60000506"/>
    <x v="27"/>
    <x v="0"/>
    <x v="0"/>
    <x v="2"/>
    <s v="Ausente"/>
    <n v="34"/>
    <x v="1"/>
    <x v="5"/>
    <x v="9"/>
    <x v="12"/>
    <x v="1"/>
    <x v="1"/>
    <x v="1"/>
    <x v="0"/>
    <s v="No"/>
    <n v="0"/>
    <n v="79375"/>
  </r>
  <r>
    <n v="60000507"/>
    <x v="26"/>
    <x v="0"/>
    <x v="0"/>
    <x v="5"/>
    <s v="Ausente"/>
    <n v="28"/>
    <x v="3"/>
    <x v="11"/>
    <x v="5"/>
    <x v="38"/>
    <x v="2"/>
    <x v="0"/>
    <x v="1"/>
    <x v="1"/>
    <s v="Si"/>
    <n v="7"/>
    <n v="77696"/>
  </r>
  <r>
    <n v="60000508"/>
    <x v="28"/>
    <x v="1"/>
    <x v="0"/>
    <x v="6"/>
    <s v="Recargo"/>
    <n v="35"/>
    <x v="1"/>
    <x v="3"/>
    <x v="2"/>
    <x v="37"/>
    <x v="2"/>
    <x v="1"/>
    <x v="1"/>
    <x v="0"/>
    <s v="No"/>
    <n v="0"/>
    <n v="81384"/>
  </r>
  <r>
    <n v="60000509"/>
    <x v="16"/>
    <x v="0"/>
    <x v="0"/>
    <x v="11"/>
    <s v="Recargo"/>
    <n v="36"/>
    <x v="1"/>
    <x v="2"/>
    <x v="4"/>
    <x v="12"/>
    <x v="0"/>
    <x v="1"/>
    <x v="1"/>
    <x v="1"/>
    <s v="Si"/>
    <n v="0"/>
    <n v="64585"/>
  </r>
  <r>
    <n v="60000510"/>
    <x v="16"/>
    <x v="1"/>
    <x v="0"/>
    <x v="8"/>
    <s v="Ausente"/>
    <n v="38"/>
    <x v="1"/>
    <x v="6"/>
    <x v="3"/>
    <x v="49"/>
    <x v="1"/>
    <x v="0"/>
    <x v="0"/>
    <x v="1"/>
    <s v="Si"/>
    <n v="6"/>
    <n v="26416"/>
  </r>
  <r>
    <n v="60000511"/>
    <x v="11"/>
    <x v="1"/>
    <x v="1"/>
    <x v="1"/>
    <s v="Recargo"/>
    <n v="27"/>
    <x v="3"/>
    <x v="6"/>
    <x v="5"/>
    <x v="27"/>
    <x v="1"/>
    <x v="0"/>
    <x v="1"/>
    <x v="1"/>
    <s v="Si"/>
    <n v="2"/>
    <n v="64046"/>
  </r>
  <r>
    <n v="60000512"/>
    <x v="2"/>
    <x v="0"/>
    <x v="1"/>
    <x v="10"/>
    <s v="Ausente"/>
    <n v="35"/>
    <x v="1"/>
    <x v="2"/>
    <x v="4"/>
    <x v="14"/>
    <x v="2"/>
    <x v="0"/>
    <x v="0"/>
    <x v="1"/>
    <s v="Si"/>
    <n v="7"/>
    <n v="24939"/>
  </r>
  <r>
    <n v="60000513"/>
    <x v="15"/>
    <x v="0"/>
    <x v="0"/>
    <x v="1"/>
    <s v="Ausente"/>
    <n v="35"/>
    <x v="1"/>
    <x v="8"/>
    <x v="1"/>
    <x v="19"/>
    <x v="0"/>
    <x v="1"/>
    <x v="1"/>
    <x v="1"/>
    <s v="No"/>
    <n v="0"/>
    <n v="79838"/>
  </r>
  <r>
    <n v="60000514"/>
    <x v="17"/>
    <x v="0"/>
    <x v="1"/>
    <x v="4"/>
    <s v="Asistio "/>
    <n v="19"/>
    <x v="0"/>
    <x v="16"/>
    <x v="1"/>
    <x v="41"/>
    <x v="0"/>
    <x v="0"/>
    <x v="1"/>
    <x v="0"/>
    <s v="Si"/>
    <n v="7"/>
    <n v="28883"/>
  </r>
  <r>
    <n v="60000515"/>
    <x v="6"/>
    <x v="0"/>
    <x v="1"/>
    <x v="4"/>
    <s v="Ausente"/>
    <n v="25"/>
    <x v="3"/>
    <x v="10"/>
    <x v="6"/>
    <x v="37"/>
    <x v="1"/>
    <x v="0"/>
    <x v="1"/>
    <x v="1"/>
    <s v="Si"/>
    <n v="0"/>
    <n v="82172"/>
  </r>
  <r>
    <n v="60000516"/>
    <x v="16"/>
    <x v="0"/>
    <x v="0"/>
    <x v="8"/>
    <s v="Asistio "/>
    <n v="18"/>
    <x v="2"/>
    <x v="14"/>
    <x v="0"/>
    <x v="7"/>
    <x v="1"/>
    <x v="0"/>
    <x v="1"/>
    <x v="1"/>
    <s v="No"/>
    <n v="0"/>
    <n v="49849"/>
  </r>
  <r>
    <n v="60000517"/>
    <x v="16"/>
    <x v="0"/>
    <x v="1"/>
    <x v="9"/>
    <s v="Recargo"/>
    <n v="16"/>
    <x v="2"/>
    <x v="8"/>
    <x v="3"/>
    <x v="18"/>
    <x v="1"/>
    <x v="1"/>
    <x v="0"/>
    <x v="0"/>
    <s v="No"/>
    <n v="0"/>
    <n v="55350"/>
  </r>
  <r>
    <n v="60000518"/>
    <x v="30"/>
    <x v="0"/>
    <x v="0"/>
    <x v="2"/>
    <s v="Asistio "/>
    <n v="28"/>
    <x v="3"/>
    <x v="10"/>
    <x v="10"/>
    <x v="33"/>
    <x v="2"/>
    <x v="0"/>
    <x v="1"/>
    <x v="1"/>
    <s v="Si"/>
    <n v="3"/>
    <n v="78750"/>
  </r>
  <r>
    <n v="60000519"/>
    <x v="23"/>
    <x v="1"/>
    <x v="0"/>
    <x v="10"/>
    <s v="Asistio "/>
    <n v="17"/>
    <x v="2"/>
    <x v="7"/>
    <x v="5"/>
    <x v="49"/>
    <x v="1"/>
    <x v="1"/>
    <x v="0"/>
    <x v="1"/>
    <s v="Si"/>
    <n v="3"/>
    <n v="76139"/>
  </r>
  <r>
    <n v="60000520"/>
    <x v="27"/>
    <x v="1"/>
    <x v="0"/>
    <x v="10"/>
    <s v="Recargo"/>
    <n v="32"/>
    <x v="1"/>
    <x v="9"/>
    <x v="1"/>
    <x v="33"/>
    <x v="0"/>
    <x v="0"/>
    <x v="0"/>
    <x v="0"/>
    <s v="Si"/>
    <n v="7"/>
    <n v="44697"/>
  </r>
  <r>
    <n v="60000521"/>
    <x v="39"/>
    <x v="1"/>
    <x v="0"/>
    <x v="7"/>
    <s v="Asistio "/>
    <n v="32"/>
    <x v="1"/>
    <x v="15"/>
    <x v="2"/>
    <x v="17"/>
    <x v="0"/>
    <x v="0"/>
    <x v="0"/>
    <x v="1"/>
    <s v="Si"/>
    <n v="3"/>
    <n v="29148"/>
  </r>
  <r>
    <n v="60000522"/>
    <x v="23"/>
    <x v="1"/>
    <x v="1"/>
    <x v="9"/>
    <s v="Ausente"/>
    <n v="30"/>
    <x v="3"/>
    <x v="13"/>
    <x v="5"/>
    <x v="43"/>
    <x v="1"/>
    <x v="0"/>
    <x v="1"/>
    <x v="0"/>
    <s v="Si"/>
    <n v="7"/>
    <n v="46375"/>
  </r>
  <r>
    <n v="60000523"/>
    <x v="39"/>
    <x v="0"/>
    <x v="1"/>
    <x v="3"/>
    <s v="Asistio "/>
    <n v="10"/>
    <x v="4"/>
    <x v="14"/>
    <x v="2"/>
    <x v="27"/>
    <x v="0"/>
    <x v="1"/>
    <x v="0"/>
    <x v="1"/>
    <s v="Si"/>
    <n v="6"/>
    <n v="46883"/>
  </r>
  <r>
    <n v="60000524"/>
    <x v="20"/>
    <x v="1"/>
    <x v="0"/>
    <x v="10"/>
    <s v="Ausente"/>
    <n v="22"/>
    <x v="0"/>
    <x v="11"/>
    <x v="7"/>
    <x v="0"/>
    <x v="2"/>
    <x v="0"/>
    <x v="0"/>
    <x v="1"/>
    <s v="No"/>
    <n v="0"/>
    <n v="35596"/>
  </r>
  <r>
    <n v="60000525"/>
    <x v="22"/>
    <x v="1"/>
    <x v="1"/>
    <x v="2"/>
    <s v="Ausente"/>
    <n v="37"/>
    <x v="1"/>
    <x v="9"/>
    <x v="2"/>
    <x v="37"/>
    <x v="0"/>
    <x v="0"/>
    <x v="0"/>
    <x v="1"/>
    <s v="Si"/>
    <n v="4"/>
    <n v="47797"/>
  </r>
  <r>
    <n v="60000526"/>
    <x v="9"/>
    <x v="0"/>
    <x v="1"/>
    <x v="2"/>
    <s v="Ausente"/>
    <n v="13"/>
    <x v="2"/>
    <x v="13"/>
    <x v="4"/>
    <x v="2"/>
    <x v="1"/>
    <x v="0"/>
    <x v="1"/>
    <x v="0"/>
    <s v="Si"/>
    <n v="7"/>
    <n v="84205"/>
  </r>
  <r>
    <n v="60000527"/>
    <x v="5"/>
    <x v="1"/>
    <x v="1"/>
    <x v="1"/>
    <s v="Ausente"/>
    <n v="31"/>
    <x v="3"/>
    <x v="6"/>
    <x v="9"/>
    <x v="8"/>
    <x v="2"/>
    <x v="0"/>
    <x v="1"/>
    <x v="1"/>
    <s v="No"/>
    <n v="0"/>
    <n v="40117"/>
  </r>
  <r>
    <n v="60000528"/>
    <x v="18"/>
    <x v="0"/>
    <x v="0"/>
    <x v="5"/>
    <s v="Ausente"/>
    <n v="24"/>
    <x v="0"/>
    <x v="13"/>
    <x v="4"/>
    <x v="42"/>
    <x v="1"/>
    <x v="1"/>
    <x v="0"/>
    <x v="0"/>
    <s v="No"/>
    <n v="0"/>
    <n v="41802"/>
  </r>
  <r>
    <n v="60000529"/>
    <x v="5"/>
    <x v="0"/>
    <x v="0"/>
    <x v="4"/>
    <s v="Ausente"/>
    <n v="34"/>
    <x v="1"/>
    <x v="10"/>
    <x v="9"/>
    <x v="29"/>
    <x v="0"/>
    <x v="0"/>
    <x v="1"/>
    <x v="1"/>
    <s v="No"/>
    <n v="0"/>
    <n v="69085"/>
  </r>
  <r>
    <n v="60000530"/>
    <x v="5"/>
    <x v="0"/>
    <x v="1"/>
    <x v="9"/>
    <s v="Ausente"/>
    <n v="38"/>
    <x v="1"/>
    <x v="6"/>
    <x v="7"/>
    <x v="40"/>
    <x v="1"/>
    <x v="1"/>
    <x v="1"/>
    <x v="1"/>
    <s v="Si"/>
    <n v="6"/>
    <n v="51061"/>
  </r>
  <r>
    <n v="60000531"/>
    <x v="5"/>
    <x v="0"/>
    <x v="1"/>
    <x v="4"/>
    <s v="Ausente"/>
    <n v="14"/>
    <x v="2"/>
    <x v="8"/>
    <x v="4"/>
    <x v="34"/>
    <x v="0"/>
    <x v="1"/>
    <x v="0"/>
    <x v="0"/>
    <s v="Si"/>
    <n v="2"/>
    <n v="83923"/>
  </r>
  <r>
    <n v="60000532"/>
    <x v="35"/>
    <x v="1"/>
    <x v="0"/>
    <x v="5"/>
    <s v="Asistio "/>
    <n v="35"/>
    <x v="1"/>
    <x v="16"/>
    <x v="2"/>
    <x v="8"/>
    <x v="1"/>
    <x v="1"/>
    <x v="1"/>
    <x v="1"/>
    <s v="No"/>
    <n v="0"/>
    <n v="58922"/>
  </r>
  <r>
    <n v="60000533"/>
    <x v="23"/>
    <x v="1"/>
    <x v="1"/>
    <x v="2"/>
    <s v="Asistio "/>
    <n v="24"/>
    <x v="0"/>
    <x v="5"/>
    <x v="5"/>
    <x v="15"/>
    <x v="0"/>
    <x v="0"/>
    <x v="0"/>
    <x v="0"/>
    <s v="No"/>
    <n v="0"/>
    <n v="51571"/>
  </r>
  <r>
    <n v="60000534"/>
    <x v="37"/>
    <x v="0"/>
    <x v="0"/>
    <x v="5"/>
    <s v="Ausente"/>
    <n v="25"/>
    <x v="3"/>
    <x v="16"/>
    <x v="1"/>
    <x v="35"/>
    <x v="2"/>
    <x v="0"/>
    <x v="0"/>
    <x v="1"/>
    <s v="Si"/>
    <n v="5"/>
    <n v="71370"/>
  </r>
  <r>
    <n v="60000535"/>
    <x v="30"/>
    <x v="0"/>
    <x v="0"/>
    <x v="9"/>
    <s v="Ausente"/>
    <n v="15"/>
    <x v="2"/>
    <x v="0"/>
    <x v="4"/>
    <x v="43"/>
    <x v="1"/>
    <x v="1"/>
    <x v="0"/>
    <x v="0"/>
    <s v="No"/>
    <n v="0"/>
    <n v="82397"/>
  </r>
  <r>
    <n v="60000536"/>
    <x v="45"/>
    <x v="1"/>
    <x v="1"/>
    <x v="8"/>
    <s v="Recargo"/>
    <n v="23"/>
    <x v="0"/>
    <x v="16"/>
    <x v="12"/>
    <x v="39"/>
    <x v="0"/>
    <x v="1"/>
    <x v="1"/>
    <x v="1"/>
    <s v="Si"/>
    <n v="1"/>
    <n v="27825"/>
  </r>
  <r>
    <n v="60000537"/>
    <x v="11"/>
    <x v="1"/>
    <x v="0"/>
    <x v="7"/>
    <s v="Asistio "/>
    <n v="24"/>
    <x v="0"/>
    <x v="5"/>
    <x v="1"/>
    <x v="22"/>
    <x v="1"/>
    <x v="1"/>
    <x v="1"/>
    <x v="1"/>
    <s v="No"/>
    <n v="0"/>
    <n v="58041"/>
  </r>
  <r>
    <n v="60000538"/>
    <x v="3"/>
    <x v="1"/>
    <x v="0"/>
    <x v="6"/>
    <s v="Ausente"/>
    <n v="12"/>
    <x v="2"/>
    <x v="3"/>
    <x v="5"/>
    <x v="41"/>
    <x v="0"/>
    <x v="0"/>
    <x v="0"/>
    <x v="1"/>
    <s v="Si"/>
    <n v="6"/>
    <n v="80139"/>
  </r>
  <r>
    <n v="60000539"/>
    <x v="42"/>
    <x v="1"/>
    <x v="1"/>
    <x v="1"/>
    <s v="Asistio "/>
    <n v="14"/>
    <x v="2"/>
    <x v="6"/>
    <x v="1"/>
    <x v="14"/>
    <x v="2"/>
    <x v="1"/>
    <x v="0"/>
    <x v="0"/>
    <s v="Si"/>
    <n v="2"/>
    <n v="70328"/>
  </r>
  <r>
    <n v="60000540"/>
    <x v="19"/>
    <x v="1"/>
    <x v="1"/>
    <x v="5"/>
    <s v="Recargo"/>
    <n v="20"/>
    <x v="0"/>
    <x v="3"/>
    <x v="3"/>
    <x v="46"/>
    <x v="0"/>
    <x v="0"/>
    <x v="1"/>
    <x v="1"/>
    <s v="No"/>
    <n v="0"/>
    <n v="39091"/>
  </r>
  <r>
    <n v="60000541"/>
    <x v="12"/>
    <x v="0"/>
    <x v="0"/>
    <x v="10"/>
    <s v="Ausente"/>
    <n v="31"/>
    <x v="3"/>
    <x v="12"/>
    <x v="5"/>
    <x v="3"/>
    <x v="2"/>
    <x v="1"/>
    <x v="1"/>
    <x v="0"/>
    <s v="No"/>
    <n v="0"/>
    <n v="57443"/>
  </r>
  <r>
    <n v="60000542"/>
    <x v="33"/>
    <x v="0"/>
    <x v="1"/>
    <x v="1"/>
    <s v="Ausente"/>
    <n v="37"/>
    <x v="1"/>
    <x v="5"/>
    <x v="5"/>
    <x v="38"/>
    <x v="1"/>
    <x v="1"/>
    <x v="1"/>
    <x v="1"/>
    <s v="No"/>
    <n v="0"/>
    <n v="37654"/>
  </r>
  <r>
    <n v="60000543"/>
    <x v="32"/>
    <x v="0"/>
    <x v="1"/>
    <x v="11"/>
    <s v="Ausente"/>
    <n v="31"/>
    <x v="3"/>
    <x v="9"/>
    <x v="11"/>
    <x v="13"/>
    <x v="1"/>
    <x v="0"/>
    <x v="0"/>
    <x v="0"/>
    <s v="No"/>
    <n v="0"/>
    <n v="76747"/>
  </r>
  <r>
    <n v="60000544"/>
    <x v="21"/>
    <x v="1"/>
    <x v="0"/>
    <x v="5"/>
    <s v="Ausente"/>
    <n v="22"/>
    <x v="0"/>
    <x v="8"/>
    <x v="8"/>
    <x v="1"/>
    <x v="2"/>
    <x v="0"/>
    <x v="0"/>
    <x v="1"/>
    <s v="Si"/>
    <n v="7"/>
    <n v="79615"/>
  </r>
  <r>
    <n v="60000545"/>
    <x v="43"/>
    <x v="0"/>
    <x v="1"/>
    <x v="3"/>
    <s v="Asistio "/>
    <n v="18"/>
    <x v="2"/>
    <x v="16"/>
    <x v="8"/>
    <x v="2"/>
    <x v="1"/>
    <x v="1"/>
    <x v="0"/>
    <x v="0"/>
    <s v="Si"/>
    <n v="0"/>
    <n v="51669"/>
  </r>
  <r>
    <n v="60000546"/>
    <x v="4"/>
    <x v="1"/>
    <x v="1"/>
    <x v="11"/>
    <s v="Recargo"/>
    <n v="21"/>
    <x v="0"/>
    <x v="12"/>
    <x v="12"/>
    <x v="32"/>
    <x v="0"/>
    <x v="1"/>
    <x v="0"/>
    <x v="0"/>
    <s v="No"/>
    <n v="0"/>
    <n v="45235"/>
  </r>
  <r>
    <n v="60000547"/>
    <x v="15"/>
    <x v="1"/>
    <x v="0"/>
    <x v="2"/>
    <s v="Recargo"/>
    <n v="33"/>
    <x v="1"/>
    <x v="9"/>
    <x v="12"/>
    <x v="14"/>
    <x v="2"/>
    <x v="1"/>
    <x v="1"/>
    <x v="1"/>
    <s v="No"/>
    <n v="0"/>
    <n v="69731"/>
  </r>
  <r>
    <n v="60000548"/>
    <x v="37"/>
    <x v="1"/>
    <x v="0"/>
    <x v="11"/>
    <s v="Ausente"/>
    <n v="17"/>
    <x v="2"/>
    <x v="16"/>
    <x v="5"/>
    <x v="40"/>
    <x v="1"/>
    <x v="0"/>
    <x v="1"/>
    <x v="1"/>
    <s v="No"/>
    <n v="0"/>
    <n v="40946"/>
  </r>
  <r>
    <n v="60000549"/>
    <x v="27"/>
    <x v="0"/>
    <x v="0"/>
    <x v="7"/>
    <s v="Asistio "/>
    <n v="33"/>
    <x v="1"/>
    <x v="5"/>
    <x v="1"/>
    <x v="26"/>
    <x v="2"/>
    <x v="1"/>
    <x v="1"/>
    <x v="1"/>
    <s v="No"/>
    <n v="0"/>
    <n v="69945"/>
  </r>
  <r>
    <n v="60000550"/>
    <x v="26"/>
    <x v="0"/>
    <x v="1"/>
    <x v="2"/>
    <s v="Asistio "/>
    <n v="33"/>
    <x v="1"/>
    <x v="15"/>
    <x v="4"/>
    <x v="8"/>
    <x v="0"/>
    <x v="0"/>
    <x v="1"/>
    <x v="1"/>
    <s v="No"/>
    <n v="0"/>
    <n v="67008"/>
  </r>
  <r>
    <n v="60000551"/>
    <x v="12"/>
    <x v="1"/>
    <x v="0"/>
    <x v="2"/>
    <s v="Recargo"/>
    <n v="21"/>
    <x v="0"/>
    <x v="12"/>
    <x v="12"/>
    <x v="10"/>
    <x v="0"/>
    <x v="1"/>
    <x v="1"/>
    <x v="1"/>
    <s v="Si"/>
    <n v="4"/>
    <n v="56667"/>
  </r>
  <r>
    <n v="60000552"/>
    <x v="4"/>
    <x v="0"/>
    <x v="1"/>
    <x v="2"/>
    <s v="Recargo"/>
    <n v="28"/>
    <x v="3"/>
    <x v="13"/>
    <x v="5"/>
    <x v="23"/>
    <x v="2"/>
    <x v="0"/>
    <x v="1"/>
    <x v="0"/>
    <s v="No"/>
    <n v="0"/>
    <n v="32042"/>
  </r>
  <r>
    <n v="60000553"/>
    <x v="22"/>
    <x v="1"/>
    <x v="0"/>
    <x v="1"/>
    <s v="Ausente"/>
    <n v="35"/>
    <x v="1"/>
    <x v="9"/>
    <x v="7"/>
    <x v="17"/>
    <x v="0"/>
    <x v="1"/>
    <x v="0"/>
    <x v="0"/>
    <s v="Si"/>
    <n v="7"/>
    <n v="57373"/>
  </r>
  <r>
    <n v="60000554"/>
    <x v="8"/>
    <x v="0"/>
    <x v="0"/>
    <x v="1"/>
    <s v="Ausente"/>
    <n v="11"/>
    <x v="4"/>
    <x v="16"/>
    <x v="6"/>
    <x v="1"/>
    <x v="2"/>
    <x v="1"/>
    <x v="1"/>
    <x v="1"/>
    <s v="No"/>
    <n v="0"/>
    <n v="34399"/>
  </r>
  <r>
    <n v="60000555"/>
    <x v="11"/>
    <x v="0"/>
    <x v="1"/>
    <x v="9"/>
    <s v="Asistio "/>
    <n v="38"/>
    <x v="1"/>
    <x v="1"/>
    <x v="8"/>
    <x v="42"/>
    <x v="1"/>
    <x v="1"/>
    <x v="1"/>
    <x v="1"/>
    <s v="No"/>
    <n v="0"/>
    <n v="65066"/>
  </r>
  <r>
    <n v="60000556"/>
    <x v="7"/>
    <x v="0"/>
    <x v="1"/>
    <x v="2"/>
    <s v="Asistio "/>
    <n v="15"/>
    <x v="2"/>
    <x v="7"/>
    <x v="3"/>
    <x v="22"/>
    <x v="1"/>
    <x v="1"/>
    <x v="0"/>
    <x v="0"/>
    <s v="No"/>
    <n v="0"/>
    <n v="25621"/>
  </r>
  <r>
    <n v="60000557"/>
    <x v="22"/>
    <x v="1"/>
    <x v="1"/>
    <x v="1"/>
    <s v="Recargo"/>
    <n v="23"/>
    <x v="0"/>
    <x v="15"/>
    <x v="3"/>
    <x v="28"/>
    <x v="0"/>
    <x v="0"/>
    <x v="0"/>
    <x v="1"/>
    <s v="Si"/>
    <n v="7"/>
    <n v="81039"/>
  </r>
  <r>
    <n v="60000558"/>
    <x v="26"/>
    <x v="0"/>
    <x v="0"/>
    <x v="2"/>
    <s v="Recargo"/>
    <n v="23"/>
    <x v="0"/>
    <x v="15"/>
    <x v="11"/>
    <x v="0"/>
    <x v="2"/>
    <x v="1"/>
    <x v="0"/>
    <x v="0"/>
    <s v="No"/>
    <n v="0"/>
    <n v="60055"/>
  </r>
  <r>
    <n v="60000559"/>
    <x v="0"/>
    <x v="0"/>
    <x v="0"/>
    <x v="10"/>
    <s v="Ausente"/>
    <n v="31"/>
    <x v="3"/>
    <x v="11"/>
    <x v="2"/>
    <x v="45"/>
    <x v="1"/>
    <x v="0"/>
    <x v="1"/>
    <x v="1"/>
    <s v="Si"/>
    <n v="4"/>
    <n v="59665"/>
  </r>
  <r>
    <n v="60000560"/>
    <x v="9"/>
    <x v="1"/>
    <x v="1"/>
    <x v="5"/>
    <s v="Asistio "/>
    <n v="18"/>
    <x v="2"/>
    <x v="9"/>
    <x v="4"/>
    <x v="33"/>
    <x v="2"/>
    <x v="0"/>
    <x v="1"/>
    <x v="1"/>
    <s v="Si"/>
    <n v="2"/>
    <n v="79766"/>
  </r>
  <r>
    <n v="60000561"/>
    <x v="34"/>
    <x v="1"/>
    <x v="0"/>
    <x v="0"/>
    <s v="Asistio "/>
    <n v="26"/>
    <x v="3"/>
    <x v="0"/>
    <x v="10"/>
    <x v="28"/>
    <x v="0"/>
    <x v="1"/>
    <x v="0"/>
    <x v="0"/>
    <s v="No"/>
    <n v="0"/>
    <n v="72085"/>
  </r>
  <r>
    <n v="60000562"/>
    <x v="24"/>
    <x v="1"/>
    <x v="0"/>
    <x v="6"/>
    <s v="Ausente"/>
    <n v="20"/>
    <x v="0"/>
    <x v="15"/>
    <x v="5"/>
    <x v="36"/>
    <x v="0"/>
    <x v="1"/>
    <x v="0"/>
    <x v="1"/>
    <s v="No"/>
    <n v="0"/>
    <n v="30210"/>
  </r>
  <r>
    <n v="60000563"/>
    <x v="36"/>
    <x v="1"/>
    <x v="0"/>
    <x v="1"/>
    <s v="Asistio "/>
    <n v="34"/>
    <x v="1"/>
    <x v="8"/>
    <x v="7"/>
    <x v="48"/>
    <x v="1"/>
    <x v="1"/>
    <x v="0"/>
    <x v="0"/>
    <s v="Si"/>
    <n v="2"/>
    <n v="71522"/>
  </r>
  <r>
    <n v="60000564"/>
    <x v="42"/>
    <x v="1"/>
    <x v="0"/>
    <x v="3"/>
    <s v="Ausente"/>
    <n v="19"/>
    <x v="0"/>
    <x v="6"/>
    <x v="8"/>
    <x v="32"/>
    <x v="2"/>
    <x v="1"/>
    <x v="1"/>
    <x v="0"/>
    <s v="No"/>
    <n v="0"/>
    <n v="72112"/>
  </r>
  <r>
    <n v="60000565"/>
    <x v="7"/>
    <x v="1"/>
    <x v="0"/>
    <x v="7"/>
    <s v="Asistio "/>
    <n v="10"/>
    <x v="4"/>
    <x v="3"/>
    <x v="9"/>
    <x v="31"/>
    <x v="0"/>
    <x v="1"/>
    <x v="0"/>
    <x v="0"/>
    <s v="Si"/>
    <n v="2"/>
    <n v="23879"/>
  </r>
  <r>
    <n v="60000566"/>
    <x v="17"/>
    <x v="1"/>
    <x v="1"/>
    <x v="8"/>
    <s v="Asistio "/>
    <n v="37"/>
    <x v="1"/>
    <x v="5"/>
    <x v="5"/>
    <x v="8"/>
    <x v="0"/>
    <x v="1"/>
    <x v="1"/>
    <x v="0"/>
    <s v="No"/>
    <n v="0"/>
    <n v="51537"/>
  </r>
  <r>
    <n v="60000567"/>
    <x v="41"/>
    <x v="0"/>
    <x v="1"/>
    <x v="8"/>
    <s v="Asistio "/>
    <n v="36"/>
    <x v="1"/>
    <x v="11"/>
    <x v="11"/>
    <x v="34"/>
    <x v="2"/>
    <x v="1"/>
    <x v="1"/>
    <x v="1"/>
    <s v="No"/>
    <n v="0"/>
    <n v="73829"/>
  </r>
  <r>
    <n v="60000568"/>
    <x v="41"/>
    <x v="0"/>
    <x v="0"/>
    <x v="2"/>
    <s v="Ausente"/>
    <n v="12"/>
    <x v="2"/>
    <x v="8"/>
    <x v="5"/>
    <x v="35"/>
    <x v="2"/>
    <x v="1"/>
    <x v="0"/>
    <x v="0"/>
    <s v="Si"/>
    <n v="6"/>
    <n v="55684"/>
  </r>
  <r>
    <n v="60000569"/>
    <x v="33"/>
    <x v="1"/>
    <x v="0"/>
    <x v="6"/>
    <s v="Ausente"/>
    <n v="34"/>
    <x v="1"/>
    <x v="3"/>
    <x v="9"/>
    <x v="47"/>
    <x v="2"/>
    <x v="0"/>
    <x v="1"/>
    <x v="1"/>
    <s v="Si"/>
    <n v="1"/>
    <n v="66711"/>
  </r>
  <r>
    <n v="60000570"/>
    <x v="16"/>
    <x v="1"/>
    <x v="1"/>
    <x v="7"/>
    <s v="Ausente"/>
    <n v="35"/>
    <x v="1"/>
    <x v="2"/>
    <x v="0"/>
    <x v="35"/>
    <x v="1"/>
    <x v="1"/>
    <x v="1"/>
    <x v="0"/>
    <s v="Si"/>
    <n v="4"/>
    <n v="35715"/>
  </r>
  <r>
    <n v="60000571"/>
    <x v="10"/>
    <x v="1"/>
    <x v="0"/>
    <x v="0"/>
    <s v="Recargo"/>
    <n v="38"/>
    <x v="1"/>
    <x v="1"/>
    <x v="4"/>
    <x v="38"/>
    <x v="0"/>
    <x v="1"/>
    <x v="0"/>
    <x v="0"/>
    <s v="Si"/>
    <n v="5"/>
    <n v="74814"/>
  </r>
  <r>
    <n v="60000572"/>
    <x v="6"/>
    <x v="0"/>
    <x v="0"/>
    <x v="5"/>
    <s v="Ausente"/>
    <n v="13"/>
    <x v="2"/>
    <x v="10"/>
    <x v="2"/>
    <x v="40"/>
    <x v="1"/>
    <x v="0"/>
    <x v="0"/>
    <x v="1"/>
    <s v="No"/>
    <n v="0"/>
    <n v="83368"/>
  </r>
  <r>
    <n v="60000573"/>
    <x v="34"/>
    <x v="0"/>
    <x v="0"/>
    <x v="6"/>
    <s v="Recargo"/>
    <n v="13"/>
    <x v="2"/>
    <x v="14"/>
    <x v="9"/>
    <x v="3"/>
    <x v="2"/>
    <x v="1"/>
    <x v="0"/>
    <x v="1"/>
    <s v="No"/>
    <n v="0"/>
    <n v="37503"/>
  </r>
  <r>
    <n v="60000574"/>
    <x v="13"/>
    <x v="0"/>
    <x v="1"/>
    <x v="9"/>
    <s v="Recargo"/>
    <n v="12"/>
    <x v="2"/>
    <x v="5"/>
    <x v="0"/>
    <x v="8"/>
    <x v="1"/>
    <x v="0"/>
    <x v="0"/>
    <x v="1"/>
    <s v="No"/>
    <n v="0"/>
    <n v="24263"/>
  </r>
  <r>
    <n v="60000575"/>
    <x v="1"/>
    <x v="1"/>
    <x v="0"/>
    <x v="4"/>
    <s v="Recargo"/>
    <n v="14"/>
    <x v="2"/>
    <x v="11"/>
    <x v="10"/>
    <x v="42"/>
    <x v="1"/>
    <x v="0"/>
    <x v="0"/>
    <x v="1"/>
    <s v="No"/>
    <n v="0"/>
    <n v="41770"/>
  </r>
  <r>
    <n v="60000576"/>
    <x v="38"/>
    <x v="0"/>
    <x v="0"/>
    <x v="9"/>
    <s v="Asistio "/>
    <n v="30"/>
    <x v="3"/>
    <x v="12"/>
    <x v="8"/>
    <x v="4"/>
    <x v="0"/>
    <x v="0"/>
    <x v="0"/>
    <x v="1"/>
    <s v="No"/>
    <n v="0"/>
    <n v="55840"/>
  </r>
  <r>
    <n v="60000577"/>
    <x v="24"/>
    <x v="1"/>
    <x v="0"/>
    <x v="1"/>
    <s v="Recargo"/>
    <n v="11"/>
    <x v="4"/>
    <x v="12"/>
    <x v="12"/>
    <x v="9"/>
    <x v="0"/>
    <x v="0"/>
    <x v="0"/>
    <x v="0"/>
    <s v="Si"/>
    <n v="1"/>
    <n v="72353"/>
  </r>
  <r>
    <n v="60000578"/>
    <x v="27"/>
    <x v="1"/>
    <x v="0"/>
    <x v="7"/>
    <s v="Ausente"/>
    <n v="36"/>
    <x v="1"/>
    <x v="9"/>
    <x v="5"/>
    <x v="17"/>
    <x v="1"/>
    <x v="1"/>
    <x v="0"/>
    <x v="1"/>
    <s v="Si"/>
    <n v="6"/>
    <n v="40780"/>
  </r>
  <r>
    <n v="60000579"/>
    <x v="10"/>
    <x v="1"/>
    <x v="1"/>
    <x v="8"/>
    <s v="Ausente"/>
    <n v="26"/>
    <x v="3"/>
    <x v="11"/>
    <x v="7"/>
    <x v="27"/>
    <x v="2"/>
    <x v="0"/>
    <x v="0"/>
    <x v="1"/>
    <s v="Si"/>
    <n v="7"/>
    <n v="76617"/>
  </r>
  <r>
    <n v="60000580"/>
    <x v="44"/>
    <x v="0"/>
    <x v="1"/>
    <x v="6"/>
    <s v="Asistio "/>
    <n v="15"/>
    <x v="2"/>
    <x v="3"/>
    <x v="4"/>
    <x v="5"/>
    <x v="0"/>
    <x v="0"/>
    <x v="1"/>
    <x v="1"/>
    <s v="No"/>
    <n v="0"/>
    <n v="68090"/>
  </r>
  <r>
    <n v="60000581"/>
    <x v="45"/>
    <x v="1"/>
    <x v="1"/>
    <x v="10"/>
    <s v="Asistio "/>
    <n v="10"/>
    <x v="4"/>
    <x v="4"/>
    <x v="12"/>
    <x v="32"/>
    <x v="1"/>
    <x v="1"/>
    <x v="0"/>
    <x v="0"/>
    <s v="Si"/>
    <n v="7"/>
    <n v="46276"/>
  </r>
  <r>
    <n v="60000582"/>
    <x v="5"/>
    <x v="1"/>
    <x v="0"/>
    <x v="2"/>
    <s v="Asistio "/>
    <n v="11"/>
    <x v="4"/>
    <x v="4"/>
    <x v="11"/>
    <x v="23"/>
    <x v="0"/>
    <x v="0"/>
    <x v="0"/>
    <x v="0"/>
    <s v="Si"/>
    <n v="7"/>
    <n v="41093"/>
  </r>
  <r>
    <n v="60000583"/>
    <x v="2"/>
    <x v="1"/>
    <x v="1"/>
    <x v="5"/>
    <s v="Asistio "/>
    <n v="36"/>
    <x v="1"/>
    <x v="1"/>
    <x v="12"/>
    <x v="13"/>
    <x v="0"/>
    <x v="0"/>
    <x v="1"/>
    <x v="1"/>
    <s v="Si"/>
    <n v="1"/>
    <n v="53884"/>
  </r>
  <r>
    <n v="60000584"/>
    <x v="10"/>
    <x v="0"/>
    <x v="0"/>
    <x v="5"/>
    <s v="Ausente"/>
    <n v="32"/>
    <x v="1"/>
    <x v="16"/>
    <x v="8"/>
    <x v="5"/>
    <x v="1"/>
    <x v="1"/>
    <x v="1"/>
    <x v="1"/>
    <s v="No"/>
    <n v="0"/>
    <n v="76973"/>
  </r>
  <r>
    <n v="60000585"/>
    <x v="33"/>
    <x v="1"/>
    <x v="1"/>
    <x v="1"/>
    <s v="Recargo"/>
    <n v="14"/>
    <x v="2"/>
    <x v="10"/>
    <x v="8"/>
    <x v="39"/>
    <x v="0"/>
    <x v="0"/>
    <x v="0"/>
    <x v="1"/>
    <s v="No"/>
    <n v="0"/>
    <n v="45982"/>
  </r>
  <r>
    <n v="60000586"/>
    <x v="12"/>
    <x v="1"/>
    <x v="1"/>
    <x v="3"/>
    <s v="Ausente"/>
    <n v="27"/>
    <x v="3"/>
    <x v="16"/>
    <x v="12"/>
    <x v="22"/>
    <x v="1"/>
    <x v="0"/>
    <x v="0"/>
    <x v="0"/>
    <s v="No"/>
    <n v="0"/>
    <n v="28570"/>
  </r>
  <r>
    <n v="60000587"/>
    <x v="29"/>
    <x v="0"/>
    <x v="0"/>
    <x v="5"/>
    <s v="Recargo"/>
    <n v="22"/>
    <x v="0"/>
    <x v="13"/>
    <x v="10"/>
    <x v="46"/>
    <x v="0"/>
    <x v="1"/>
    <x v="0"/>
    <x v="0"/>
    <s v="Si"/>
    <n v="4"/>
    <n v="71377"/>
  </r>
  <r>
    <n v="60000588"/>
    <x v="3"/>
    <x v="1"/>
    <x v="0"/>
    <x v="6"/>
    <s v="Ausente"/>
    <n v="26"/>
    <x v="3"/>
    <x v="1"/>
    <x v="12"/>
    <x v="18"/>
    <x v="0"/>
    <x v="1"/>
    <x v="1"/>
    <x v="1"/>
    <s v="No"/>
    <n v="0"/>
    <n v="57215"/>
  </r>
  <r>
    <n v="60000589"/>
    <x v="19"/>
    <x v="0"/>
    <x v="1"/>
    <x v="8"/>
    <s v="Asistio "/>
    <n v="37"/>
    <x v="1"/>
    <x v="16"/>
    <x v="3"/>
    <x v="7"/>
    <x v="1"/>
    <x v="0"/>
    <x v="0"/>
    <x v="0"/>
    <s v="Si"/>
    <n v="2"/>
    <n v="48218"/>
  </r>
  <r>
    <n v="60000590"/>
    <x v="7"/>
    <x v="0"/>
    <x v="0"/>
    <x v="11"/>
    <s v="Asistio "/>
    <n v="18"/>
    <x v="2"/>
    <x v="7"/>
    <x v="8"/>
    <x v="45"/>
    <x v="1"/>
    <x v="0"/>
    <x v="0"/>
    <x v="1"/>
    <s v="No"/>
    <n v="0"/>
    <n v="50569"/>
  </r>
  <r>
    <n v="60000591"/>
    <x v="41"/>
    <x v="1"/>
    <x v="0"/>
    <x v="8"/>
    <s v="Asistio "/>
    <n v="28"/>
    <x v="3"/>
    <x v="5"/>
    <x v="2"/>
    <x v="4"/>
    <x v="1"/>
    <x v="0"/>
    <x v="0"/>
    <x v="0"/>
    <s v="No"/>
    <n v="0"/>
    <n v="65399"/>
  </r>
  <r>
    <n v="60000592"/>
    <x v="32"/>
    <x v="1"/>
    <x v="1"/>
    <x v="11"/>
    <s v="Ausente"/>
    <n v="28"/>
    <x v="3"/>
    <x v="11"/>
    <x v="12"/>
    <x v="28"/>
    <x v="2"/>
    <x v="1"/>
    <x v="0"/>
    <x v="0"/>
    <s v="No"/>
    <n v="0"/>
    <n v="52033"/>
  </r>
  <r>
    <n v="60000593"/>
    <x v="23"/>
    <x v="1"/>
    <x v="1"/>
    <x v="3"/>
    <s v="Asistio "/>
    <n v="13"/>
    <x v="2"/>
    <x v="1"/>
    <x v="11"/>
    <x v="42"/>
    <x v="1"/>
    <x v="0"/>
    <x v="0"/>
    <x v="1"/>
    <s v="No"/>
    <n v="0"/>
    <n v="68451"/>
  </r>
  <r>
    <n v="60000594"/>
    <x v="32"/>
    <x v="0"/>
    <x v="1"/>
    <x v="9"/>
    <s v="Recargo"/>
    <n v="19"/>
    <x v="0"/>
    <x v="0"/>
    <x v="3"/>
    <x v="29"/>
    <x v="1"/>
    <x v="0"/>
    <x v="1"/>
    <x v="1"/>
    <s v="No"/>
    <n v="0"/>
    <n v="25667"/>
  </r>
  <r>
    <n v="60000595"/>
    <x v="17"/>
    <x v="0"/>
    <x v="0"/>
    <x v="11"/>
    <s v="Asistio "/>
    <n v="20"/>
    <x v="0"/>
    <x v="12"/>
    <x v="7"/>
    <x v="37"/>
    <x v="0"/>
    <x v="0"/>
    <x v="1"/>
    <x v="0"/>
    <s v="No"/>
    <n v="0"/>
    <n v="83560"/>
  </r>
  <r>
    <n v="60000596"/>
    <x v="34"/>
    <x v="1"/>
    <x v="1"/>
    <x v="9"/>
    <s v="Ausente"/>
    <n v="26"/>
    <x v="3"/>
    <x v="5"/>
    <x v="11"/>
    <x v="48"/>
    <x v="0"/>
    <x v="1"/>
    <x v="0"/>
    <x v="1"/>
    <s v="No"/>
    <n v="0"/>
    <n v="57917"/>
  </r>
  <r>
    <n v="60000597"/>
    <x v="32"/>
    <x v="1"/>
    <x v="0"/>
    <x v="3"/>
    <s v="Recargo"/>
    <n v="16"/>
    <x v="2"/>
    <x v="12"/>
    <x v="6"/>
    <x v="38"/>
    <x v="1"/>
    <x v="0"/>
    <x v="0"/>
    <x v="0"/>
    <s v="No"/>
    <n v="0"/>
    <n v="50258"/>
  </r>
  <r>
    <n v="60000598"/>
    <x v="8"/>
    <x v="1"/>
    <x v="1"/>
    <x v="7"/>
    <s v="Recargo"/>
    <n v="15"/>
    <x v="2"/>
    <x v="1"/>
    <x v="7"/>
    <x v="36"/>
    <x v="0"/>
    <x v="0"/>
    <x v="1"/>
    <x v="0"/>
    <s v="Si"/>
    <n v="1"/>
    <n v="53537"/>
  </r>
  <r>
    <n v="60000599"/>
    <x v="10"/>
    <x v="0"/>
    <x v="1"/>
    <x v="7"/>
    <s v="Recargo"/>
    <n v="22"/>
    <x v="0"/>
    <x v="10"/>
    <x v="5"/>
    <x v="9"/>
    <x v="1"/>
    <x v="1"/>
    <x v="1"/>
    <x v="1"/>
    <s v="Si"/>
    <n v="5"/>
    <n v="36408"/>
  </r>
  <r>
    <n v="60000600"/>
    <x v="27"/>
    <x v="1"/>
    <x v="1"/>
    <x v="8"/>
    <s v="Asistio "/>
    <n v="22"/>
    <x v="0"/>
    <x v="15"/>
    <x v="9"/>
    <x v="33"/>
    <x v="0"/>
    <x v="0"/>
    <x v="1"/>
    <x v="0"/>
    <s v="No"/>
    <n v="0"/>
    <n v="68952"/>
  </r>
  <r>
    <n v="60000601"/>
    <x v="30"/>
    <x v="0"/>
    <x v="0"/>
    <x v="1"/>
    <s v="Recargo"/>
    <n v="27"/>
    <x v="3"/>
    <x v="4"/>
    <x v="3"/>
    <x v="7"/>
    <x v="1"/>
    <x v="1"/>
    <x v="0"/>
    <x v="1"/>
    <s v="No"/>
    <n v="0"/>
    <n v="64036"/>
  </r>
  <r>
    <n v="60000602"/>
    <x v="18"/>
    <x v="1"/>
    <x v="1"/>
    <x v="9"/>
    <s v="Ausente"/>
    <n v="18"/>
    <x v="2"/>
    <x v="7"/>
    <x v="2"/>
    <x v="30"/>
    <x v="2"/>
    <x v="1"/>
    <x v="0"/>
    <x v="1"/>
    <s v="No"/>
    <n v="0"/>
    <n v="56531"/>
  </r>
  <r>
    <n v="60000603"/>
    <x v="7"/>
    <x v="0"/>
    <x v="0"/>
    <x v="11"/>
    <s v="Asistio "/>
    <n v="18"/>
    <x v="2"/>
    <x v="2"/>
    <x v="5"/>
    <x v="16"/>
    <x v="1"/>
    <x v="1"/>
    <x v="0"/>
    <x v="0"/>
    <s v="No"/>
    <n v="0"/>
    <n v="75914"/>
  </r>
  <r>
    <n v="60000604"/>
    <x v="37"/>
    <x v="0"/>
    <x v="0"/>
    <x v="5"/>
    <s v="Recargo"/>
    <n v="14"/>
    <x v="2"/>
    <x v="15"/>
    <x v="3"/>
    <x v="12"/>
    <x v="2"/>
    <x v="1"/>
    <x v="1"/>
    <x v="1"/>
    <s v="Si"/>
    <n v="4"/>
    <n v="68867"/>
  </r>
  <r>
    <n v="60000605"/>
    <x v="30"/>
    <x v="1"/>
    <x v="0"/>
    <x v="5"/>
    <s v="Asistio "/>
    <n v="14"/>
    <x v="2"/>
    <x v="1"/>
    <x v="7"/>
    <x v="47"/>
    <x v="2"/>
    <x v="1"/>
    <x v="0"/>
    <x v="1"/>
    <s v="No"/>
    <n v="0"/>
    <n v="68635"/>
  </r>
  <r>
    <n v="60000606"/>
    <x v="9"/>
    <x v="1"/>
    <x v="1"/>
    <x v="6"/>
    <s v="Asistio "/>
    <n v="34"/>
    <x v="1"/>
    <x v="7"/>
    <x v="5"/>
    <x v="9"/>
    <x v="2"/>
    <x v="0"/>
    <x v="0"/>
    <x v="1"/>
    <s v="Si"/>
    <n v="3"/>
    <n v="81611"/>
  </r>
  <r>
    <n v="60000607"/>
    <x v="3"/>
    <x v="0"/>
    <x v="0"/>
    <x v="1"/>
    <s v="Asistio "/>
    <n v="33"/>
    <x v="1"/>
    <x v="8"/>
    <x v="4"/>
    <x v="27"/>
    <x v="2"/>
    <x v="0"/>
    <x v="1"/>
    <x v="0"/>
    <s v="Si"/>
    <n v="5"/>
    <n v="48508"/>
  </r>
  <r>
    <n v="60000608"/>
    <x v="11"/>
    <x v="1"/>
    <x v="1"/>
    <x v="8"/>
    <s v="Asistio "/>
    <n v="37"/>
    <x v="1"/>
    <x v="0"/>
    <x v="1"/>
    <x v="39"/>
    <x v="2"/>
    <x v="1"/>
    <x v="0"/>
    <x v="1"/>
    <s v="No"/>
    <n v="0"/>
    <n v="70933"/>
  </r>
  <r>
    <n v="60000609"/>
    <x v="36"/>
    <x v="1"/>
    <x v="1"/>
    <x v="1"/>
    <s v="Recargo"/>
    <n v="25"/>
    <x v="3"/>
    <x v="5"/>
    <x v="3"/>
    <x v="20"/>
    <x v="1"/>
    <x v="0"/>
    <x v="0"/>
    <x v="1"/>
    <s v="Si"/>
    <n v="4"/>
    <n v="48153"/>
  </r>
  <r>
    <n v="60000610"/>
    <x v="14"/>
    <x v="0"/>
    <x v="0"/>
    <x v="2"/>
    <s v="Asistio "/>
    <n v="25"/>
    <x v="3"/>
    <x v="3"/>
    <x v="0"/>
    <x v="4"/>
    <x v="2"/>
    <x v="0"/>
    <x v="0"/>
    <x v="0"/>
    <s v="No"/>
    <n v="0"/>
    <n v="45766"/>
  </r>
  <r>
    <n v="60000611"/>
    <x v="5"/>
    <x v="0"/>
    <x v="0"/>
    <x v="11"/>
    <s v="Recargo"/>
    <n v="12"/>
    <x v="2"/>
    <x v="5"/>
    <x v="2"/>
    <x v="45"/>
    <x v="0"/>
    <x v="1"/>
    <x v="0"/>
    <x v="1"/>
    <s v="Si"/>
    <n v="2"/>
    <n v="28478"/>
  </r>
  <r>
    <n v="60000612"/>
    <x v="15"/>
    <x v="0"/>
    <x v="0"/>
    <x v="6"/>
    <s v="Asistio "/>
    <n v="23"/>
    <x v="0"/>
    <x v="1"/>
    <x v="10"/>
    <x v="29"/>
    <x v="2"/>
    <x v="0"/>
    <x v="1"/>
    <x v="0"/>
    <s v="Si"/>
    <n v="5"/>
    <n v="69741"/>
  </r>
  <r>
    <n v="60000613"/>
    <x v="1"/>
    <x v="1"/>
    <x v="0"/>
    <x v="5"/>
    <s v="Asistio "/>
    <n v="33"/>
    <x v="1"/>
    <x v="4"/>
    <x v="5"/>
    <x v="32"/>
    <x v="1"/>
    <x v="1"/>
    <x v="0"/>
    <x v="0"/>
    <s v="No"/>
    <n v="0"/>
    <n v="58015"/>
  </r>
  <r>
    <n v="60000614"/>
    <x v="10"/>
    <x v="0"/>
    <x v="1"/>
    <x v="11"/>
    <s v="Recargo"/>
    <n v="10"/>
    <x v="4"/>
    <x v="4"/>
    <x v="6"/>
    <x v="24"/>
    <x v="2"/>
    <x v="0"/>
    <x v="0"/>
    <x v="0"/>
    <s v="Si"/>
    <n v="6"/>
    <n v="68263"/>
  </r>
  <r>
    <n v="60000615"/>
    <x v="8"/>
    <x v="1"/>
    <x v="1"/>
    <x v="9"/>
    <s v="Recargo"/>
    <n v="23"/>
    <x v="0"/>
    <x v="0"/>
    <x v="1"/>
    <x v="0"/>
    <x v="1"/>
    <x v="0"/>
    <x v="0"/>
    <x v="1"/>
    <s v="No"/>
    <n v="0"/>
    <n v="34109"/>
  </r>
  <r>
    <n v="60000616"/>
    <x v="4"/>
    <x v="1"/>
    <x v="0"/>
    <x v="2"/>
    <s v="Ausente"/>
    <n v="17"/>
    <x v="2"/>
    <x v="16"/>
    <x v="2"/>
    <x v="9"/>
    <x v="0"/>
    <x v="0"/>
    <x v="1"/>
    <x v="0"/>
    <s v="Si"/>
    <n v="3"/>
    <n v="64964"/>
  </r>
  <r>
    <n v="60000617"/>
    <x v="20"/>
    <x v="0"/>
    <x v="1"/>
    <x v="2"/>
    <s v="Asistio "/>
    <n v="22"/>
    <x v="0"/>
    <x v="11"/>
    <x v="6"/>
    <x v="41"/>
    <x v="2"/>
    <x v="0"/>
    <x v="1"/>
    <x v="1"/>
    <s v="Si"/>
    <n v="5"/>
    <n v="30063"/>
  </r>
  <r>
    <n v="60000618"/>
    <x v="8"/>
    <x v="1"/>
    <x v="0"/>
    <x v="2"/>
    <s v="Recargo"/>
    <n v="21"/>
    <x v="0"/>
    <x v="9"/>
    <x v="2"/>
    <x v="42"/>
    <x v="1"/>
    <x v="0"/>
    <x v="1"/>
    <x v="0"/>
    <s v="Si"/>
    <n v="5"/>
    <n v="59660"/>
  </r>
  <r>
    <n v="60000619"/>
    <x v="9"/>
    <x v="1"/>
    <x v="1"/>
    <x v="11"/>
    <s v="Recargo"/>
    <n v="20"/>
    <x v="0"/>
    <x v="3"/>
    <x v="10"/>
    <x v="43"/>
    <x v="0"/>
    <x v="1"/>
    <x v="0"/>
    <x v="0"/>
    <s v="No"/>
    <n v="0"/>
    <n v="31515"/>
  </r>
  <r>
    <n v="60000620"/>
    <x v="33"/>
    <x v="0"/>
    <x v="0"/>
    <x v="9"/>
    <s v="Ausente"/>
    <n v="25"/>
    <x v="3"/>
    <x v="5"/>
    <x v="0"/>
    <x v="37"/>
    <x v="1"/>
    <x v="0"/>
    <x v="0"/>
    <x v="0"/>
    <s v="No"/>
    <n v="0"/>
    <n v="78579"/>
  </r>
  <r>
    <n v="60000621"/>
    <x v="43"/>
    <x v="1"/>
    <x v="0"/>
    <x v="1"/>
    <s v="Recargo"/>
    <n v="10"/>
    <x v="4"/>
    <x v="13"/>
    <x v="12"/>
    <x v="44"/>
    <x v="1"/>
    <x v="1"/>
    <x v="1"/>
    <x v="0"/>
    <s v="No"/>
    <n v="0"/>
    <n v="29705"/>
  </r>
  <r>
    <n v="60000622"/>
    <x v="16"/>
    <x v="1"/>
    <x v="1"/>
    <x v="3"/>
    <s v="Recargo"/>
    <n v="25"/>
    <x v="3"/>
    <x v="11"/>
    <x v="3"/>
    <x v="44"/>
    <x v="0"/>
    <x v="0"/>
    <x v="1"/>
    <x v="0"/>
    <s v="No"/>
    <n v="0"/>
    <n v="51214"/>
  </r>
  <r>
    <n v="60000623"/>
    <x v="22"/>
    <x v="0"/>
    <x v="1"/>
    <x v="5"/>
    <s v="Recargo"/>
    <n v="25"/>
    <x v="3"/>
    <x v="9"/>
    <x v="1"/>
    <x v="4"/>
    <x v="2"/>
    <x v="0"/>
    <x v="0"/>
    <x v="0"/>
    <s v="No"/>
    <n v="0"/>
    <n v="57784"/>
  </r>
  <r>
    <n v="60000624"/>
    <x v="32"/>
    <x v="1"/>
    <x v="1"/>
    <x v="11"/>
    <s v="Ausente"/>
    <n v="37"/>
    <x v="1"/>
    <x v="7"/>
    <x v="6"/>
    <x v="26"/>
    <x v="1"/>
    <x v="0"/>
    <x v="0"/>
    <x v="0"/>
    <s v="Si"/>
    <n v="0"/>
    <n v="73339"/>
  </r>
  <r>
    <n v="60000625"/>
    <x v="39"/>
    <x v="0"/>
    <x v="0"/>
    <x v="6"/>
    <s v="Asistio "/>
    <n v="34"/>
    <x v="1"/>
    <x v="5"/>
    <x v="7"/>
    <x v="32"/>
    <x v="1"/>
    <x v="1"/>
    <x v="1"/>
    <x v="1"/>
    <s v="Si"/>
    <n v="4"/>
    <n v="41052"/>
  </r>
  <r>
    <n v="60000626"/>
    <x v="40"/>
    <x v="0"/>
    <x v="0"/>
    <x v="2"/>
    <s v="Ausente"/>
    <n v="24"/>
    <x v="0"/>
    <x v="8"/>
    <x v="7"/>
    <x v="9"/>
    <x v="0"/>
    <x v="0"/>
    <x v="0"/>
    <x v="1"/>
    <s v="Si"/>
    <n v="4"/>
    <n v="75161"/>
  </r>
  <r>
    <n v="60000627"/>
    <x v="33"/>
    <x v="1"/>
    <x v="0"/>
    <x v="1"/>
    <s v="Asistio "/>
    <n v="19"/>
    <x v="0"/>
    <x v="8"/>
    <x v="7"/>
    <x v="15"/>
    <x v="0"/>
    <x v="0"/>
    <x v="1"/>
    <x v="1"/>
    <s v="Si"/>
    <n v="7"/>
    <n v="69835"/>
  </r>
  <r>
    <n v="60000628"/>
    <x v="38"/>
    <x v="1"/>
    <x v="0"/>
    <x v="0"/>
    <s v="Asistio "/>
    <n v="11"/>
    <x v="4"/>
    <x v="10"/>
    <x v="3"/>
    <x v="30"/>
    <x v="1"/>
    <x v="0"/>
    <x v="1"/>
    <x v="1"/>
    <s v="No"/>
    <n v="0"/>
    <n v="47676"/>
  </r>
  <r>
    <n v="60000629"/>
    <x v="6"/>
    <x v="0"/>
    <x v="0"/>
    <x v="1"/>
    <s v="Ausente"/>
    <n v="24"/>
    <x v="0"/>
    <x v="12"/>
    <x v="7"/>
    <x v="13"/>
    <x v="0"/>
    <x v="1"/>
    <x v="1"/>
    <x v="0"/>
    <s v="Si"/>
    <n v="0"/>
    <n v="74278"/>
  </r>
  <r>
    <n v="60000630"/>
    <x v="32"/>
    <x v="0"/>
    <x v="1"/>
    <x v="2"/>
    <s v="Recargo"/>
    <n v="37"/>
    <x v="1"/>
    <x v="13"/>
    <x v="9"/>
    <x v="2"/>
    <x v="1"/>
    <x v="0"/>
    <x v="0"/>
    <x v="0"/>
    <s v="Si"/>
    <n v="3"/>
    <n v="43875"/>
  </r>
  <r>
    <n v="60000631"/>
    <x v="5"/>
    <x v="0"/>
    <x v="1"/>
    <x v="8"/>
    <s v="Asistio "/>
    <n v="37"/>
    <x v="1"/>
    <x v="13"/>
    <x v="2"/>
    <x v="47"/>
    <x v="1"/>
    <x v="1"/>
    <x v="1"/>
    <x v="0"/>
    <s v="Si"/>
    <n v="6"/>
    <n v="43891"/>
  </r>
  <r>
    <n v="60000632"/>
    <x v="6"/>
    <x v="1"/>
    <x v="0"/>
    <x v="2"/>
    <s v="Ausente"/>
    <n v="23"/>
    <x v="0"/>
    <x v="13"/>
    <x v="10"/>
    <x v="7"/>
    <x v="1"/>
    <x v="0"/>
    <x v="0"/>
    <x v="0"/>
    <s v="No"/>
    <n v="0"/>
    <n v="55861"/>
  </r>
  <r>
    <n v="60000633"/>
    <x v="45"/>
    <x v="1"/>
    <x v="0"/>
    <x v="8"/>
    <s v="Ausente"/>
    <n v="36"/>
    <x v="1"/>
    <x v="15"/>
    <x v="7"/>
    <x v="21"/>
    <x v="0"/>
    <x v="1"/>
    <x v="0"/>
    <x v="1"/>
    <s v="Si"/>
    <n v="3"/>
    <n v="74572"/>
  </r>
  <r>
    <n v="60000634"/>
    <x v="22"/>
    <x v="0"/>
    <x v="1"/>
    <x v="1"/>
    <s v="Recargo"/>
    <n v="15"/>
    <x v="2"/>
    <x v="1"/>
    <x v="5"/>
    <x v="32"/>
    <x v="0"/>
    <x v="0"/>
    <x v="1"/>
    <x v="1"/>
    <s v="No"/>
    <n v="0"/>
    <n v="75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D63:E69" firstHeaderRow="1" firstDataRow="1"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ascending">
      <items count="14">
        <item x="1"/>
        <item x="7"/>
        <item x="8"/>
        <item x="9"/>
        <item x="5"/>
        <item x="4"/>
        <item x="2"/>
        <item x="12"/>
        <item x="0"/>
        <item x="10"/>
        <item x="6"/>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9"/>
  </rowFields>
  <rowItems count="6">
    <i>
      <x v="11"/>
    </i>
    <i>
      <x v="5"/>
    </i>
    <i>
      <x v="1"/>
    </i>
    <i>
      <x v="7"/>
    </i>
    <i>
      <x/>
    </i>
    <i t="grand">
      <x/>
    </i>
  </rowItems>
  <colItems count="1">
    <i/>
  </colItems>
  <dataFields count="1">
    <dataField name="Count of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2:D17" firstHeaderRow="1" firstDataRow="2"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axis="axisCol" showAll="0">
      <items count="3">
        <item x="0"/>
        <item x="1"/>
        <item t="default"/>
      </items>
    </pivotField>
    <pivotField showAll="0"/>
    <pivotField showAll="0"/>
    <pivotField showAll="0"/>
    <pivotField showAll="0"/>
    <pivotField showAll="0"/>
  </pivotFields>
  <rowFields count="1">
    <field x="11"/>
  </rowFields>
  <rowItems count="4">
    <i>
      <x/>
    </i>
    <i>
      <x v="1"/>
    </i>
    <i>
      <x v="2"/>
    </i>
    <i t="grand">
      <x/>
    </i>
  </rowItems>
  <colFields count="1">
    <field x="12"/>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0"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1:B37" firstHeaderRow="1" firstDataRow="1" firstDataCol="1"/>
  <pivotFields count="18">
    <pivotField dataField="1" showAll="0"/>
    <pivotField axis="axisRow"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1"/>
  </rowFields>
  <rowItems count="6">
    <i>
      <x v="1"/>
    </i>
    <i>
      <x v="2"/>
    </i>
    <i>
      <x v="3"/>
    </i>
    <i>
      <x v="4"/>
    </i>
    <i>
      <x v="5"/>
    </i>
    <i t="grand">
      <x/>
    </i>
  </rowItems>
  <colItems count="1">
    <i/>
  </colItems>
  <dataFields count="1">
    <dataField name="Count of Id" fld="0" subtotal="count" showDataAs="percentOfCo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46:B52" firstHeaderRow="1" firstDataRow="1"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axis="axisRow" showAll="0">
      <items count="6">
        <item x="4"/>
        <item x="3"/>
        <item x="2"/>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Id" fld="0" subtotal="count" showDataAs="percentOfCol" baseField="0" baseItem="0" numFmtId="1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7:A8" firstHeaderRow="1" firstDataRow="1" firstDataCol="0"/>
  <pivotFields count="18">
    <pivotField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Monto de la consulta" fld="17" subtotal="average" baseField="0" baseItem="0" numFmtId="1"/>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55:A56" firstHeaderRow="1" firstDataRow="1" firstDataCol="0"/>
  <pivotFields count="18">
    <pivotField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dataField="1" showAll="0"/>
    <pivotField showAll="0">
      <items count="6">
        <item x="4"/>
        <item x="3"/>
        <item x="2"/>
        <item x="0"/>
        <item x="1"/>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 grasa"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Table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G12:J17" firstHeaderRow="1" firstDataRow="2"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pivotField axis="axisCol" showAll="0">
      <items count="3">
        <item x="0"/>
        <item x="1"/>
        <item t="default"/>
      </items>
    </pivotField>
    <pivotField showAll="0"/>
    <pivotField showAll="0"/>
    <pivotField showAll="0"/>
    <pivotField showAll="0"/>
  </pivotFields>
  <rowFields count="1">
    <field x="11"/>
  </rowFields>
  <rowItems count="4">
    <i>
      <x/>
    </i>
    <i>
      <x v="1"/>
    </i>
    <i>
      <x v="2"/>
    </i>
    <i t="grand">
      <x/>
    </i>
  </rowItems>
  <colFields count="1">
    <field x="13"/>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40:B43" firstHeaderRow="1" firstDataRow="1" firstDataCol="1"/>
  <pivotFields count="18">
    <pivotField dataField="1" showAll="0"/>
    <pivotField showAll="0">
      <items count="8">
        <item x="0"/>
        <item x="1"/>
        <item x="2"/>
        <item x="3"/>
        <item x="4"/>
        <item x="5"/>
        <item x="6"/>
        <item t="default"/>
      </items>
    </pivotField>
    <pivotField axis="axisRow"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showDataAs="percentOfCo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63:B69" firstHeaderRow="1" firstDataRow="1"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axis="axisRow" showAll="0" measureFilter="1" sortType="ascending">
      <items count="18">
        <item x="11"/>
        <item x="12"/>
        <item x="16"/>
        <item x="8"/>
        <item x="5"/>
        <item x="4"/>
        <item x="13"/>
        <item x="3"/>
        <item x="6"/>
        <item x="10"/>
        <item x="2"/>
        <item x="15"/>
        <item x="0"/>
        <item x="7"/>
        <item x="9"/>
        <item x="1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8"/>
  </rowFields>
  <rowItems count="6">
    <i>
      <x v="13"/>
    </i>
    <i>
      <x v="4"/>
    </i>
    <i>
      <x v="7"/>
    </i>
    <i>
      <x v="16"/>
    </i>
    <i>
      <x v="14"/>
    </i>
    <i t="grand">
      <x/>
    </i>
  </rowItems>
  <colItems count="1">
    <i/>
  </colItems>
  <dataFields count="1">
    <dataField name="Count of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A4" firstHeaderRow="1" firstDataRow="1" firstDataCol="0"/>
  <pivotFields count="18">
    <pivotField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ías" fld="16" subtotal="average"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G63:H72" firstHeaderRow="1" firstDataRow="1"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ascending">
      <items count="51">
        <item x="25"/>
        <item x="31"/>
        <item x="36"/>
        <item x="47"/>
        <item x="21"/>
        <item x="18"/>
        <item x="5"/>
        <item x="27"/>
        <item x="22"/>
        <item x="43"/>
        <item x="12"/>
        <item x="48"/>
        <item x="19"/>
        <item x="16"/>
        <item x="24"/>
        <item x="20"/>
        <item x="28"/>
        <item x="6"/>
        <item x="37"/>
        <item x="49"/>
        <item x="41"/>
        <item x="11"/>
        <item x="13"/>
        <item x="8"/>
        <item x="34"/>
        <item x="15"/>
        <item x="26"/>
        <item x="30"/>
        <item x="2"/>
        <item x="14"/>
        <item x="45"/>
        <item x="10"/>
        <item x="17"/>
        <item x="38"/>
        <item x="44"/>
        <item x="29"/>
        <item x="40"/>
        <item x="33"/>
        <item x="3"/>
        <item x="32"/>
        <item x="0"/>
        <item x="7"/>
        <item x="1"/>
        <item x="9"/>
        <item x="35"/>
        <item x="4"/>
        <item x="46"/>
        <item x="39"/>
        <item x="23"/>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0"/>
  </rowFields>
  <rowItems count="9">
    <i>
      <x v="22"/>
    </i>
    <i>
      <x v="12"/>
    </i>
    <i>
      <x v="42"/>
    </i>
    <i>
      <x v="41"/>
    </i>
    <i>
      <x v="23"/>
    </i>
    <i>
      <x v="5"/>
    </i>
    <i>
      <x v="15"/>
    </i>
    <i>
      <x v="32"/>
    </i>
    <i t="grand">
      <x/>
    </i>
  </rowItems>
  <colItems count="1">
    <i/>
  </colItems>
  <dataFields count="1">
    <dataField name="Count of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0" type="count" evalOrder="-1" id="4" iMeasureFld="0">
      <autoFilter ref="A1">
        <filterColumn colId="0">
          <top10 val="5" filterVal="5"/>
        </filterColumn>
      </autoFilter>
    </filter>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59:A60" firstHeaderRow="1" firstDataRow="1" firstDataCol="0"/>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items count="6">
        <item x="4"/>
        <item x="3"/>
        <item x="2"/>
        <item x="0"/>
        <item x="1"/>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25:B28" firstHeaderRow="1" firstDataRow="1" firstDataCol="1"/>
  <pivotFields count="18">
    <pivotField dataField="1" showAll="0"/>
    <pivotField showAll="0">
      <items count="8">
        <item x="0"/>
        <item x="1"/>
        <item x="2"/>
        <item x="3"/>
        <item x="4"/>
        <item x="5"/>
        <item x="6"/>
        <item t="default"/>
      </items>
    </pivotField>
    <pivotField showAll="0">
      <items count="3">
        <item x="0"/>
        <item x="1"/>
        <item t="default"/>
      </items>
    </pivotField>
    <pivotField axis="axisRow"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Id" fld="0" subtotal="count" showDataAs="percentOfCol" baseField="0" baseItem="0" numFmtId="1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8"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L12:O17" firstHeaderRow="1" firstDataRow="2" firstDataCol="1"/>
  <pivotFields count="18">
    <pivotField dataField="1" showAll="0"/>
    <pivotField showAll="0">
      <items count="8">
        <item x="0"/>
        <item x="1"/>
        <item x="2"/>
        <item x="3"/>
        <item x="4"/>
        <item x="5"/>
        <item x="6"/>
        <item t="default"/>
      </items>
    </pivotField>
    <pivotField showAll="0">
      <items count="3">
        <item x="0"/>
        <item x="1"/>
        <item t="default"/>
      </items>
    </pivotField>
    <pivotField showAll="0">
      <items count="3">
        <item x="0"/>
        <item x="1"/>
        <item t="default"/>
      </items>
    </pivotField>
    <pivotField showAll="0">
      <items count="13">
        <item x="1"/>
        <item x="5"/>
        <item x="0"/>
        <item x="2"/>
        <item x="4"/>
        <item x="8"/>
        <item x="3"/>
        <item x="6"/>
        <item x="10"/>
        <item x="9"/>
        <item x="7"/>
        <item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pivotField showAll="0"/>
    <pivotField axis="axisCol" showAll="0">
      <items count="3">
        <item x="0"/>
        <item x="1"/>
        <item t="default"/>
      </items>
    </pivotField>
    <pivotField showAll="0"/>
    <pivotField showAll="0"/>
    <pivotField showAll="0"/>
  </pivotFields>
  <rowFields count="1">
    <field x="11"/>
  </rowFields>
  <rowItems count="4">
    <i>
      <x/>
    </i>
    <i>
      <x v="1"/>
    </i>
    <i>
      <x v="2"/>
    </i>
    <i t="grand">
      <x/>
    </i>
  </rowItems>
  <colFields count="1">
    <field x="14"/>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trabajador" xr10:uid="{00000000-0013-0000-FFFF-FFFF01000000}" sourceName="Tipo trabajador">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o" xr10:uid="{00000000-0013-0000-FFFF-FFFF02000000}" sourceName="Sexo">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Área" xr10:uid="{00000000-0013-0000-FFFF-FFFF03000000}" sourceName="Área ">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12">
        <i x="1" s="1"/>
        <i x="5" s="1"/>
        <i x="0" s="1"/>
        <i x="2" s="1"/>
        <i x="4" s="1"/>
        <i x="8" s="1"/>
        <i x="3" s="1"/>
        <i x="6" s="1"/>
        <i x="10" s="1"/>
        <i x="9" s="1"/>
        <i x="7"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trabajador" xr10:uid="{00000000-0014-0000-FFFF-FFFF01000000}" cache="Slicer_Tipo_trabajador" caption="Tipo trabajador" style="Slicer Style 1" rowHeight="241300"/>
  <slicer name="Sexo" xr10:uid="{00000000-0014-0000-FFFF-FFFF02000000}" cache="Slicer_Sexo" caption="Sexo" style="Slicer Style 1" rowHeight="241300"/>
  <slicer name="Área " xr10:uid="{00000000-0014-0000-FFFF-FFFF03000000}" cache="Slicer_Área" caption="Área "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635" totalsRowShown="0">
  <autoFilter ref="A1:R635" xr:uid="{00000000-0009-0000-0100-000001000000}"/>
  <tableColumns count="18">
    <tableColumn id="1" xr3:uid="{00000000-0010-0000-0000-000001000000}" name="Id"/>
    <tableColumn id="2" xr3:uid="{00000000-0010-0000-0000-000002000000}" name="Edad"/>
    <tableColumn id="3" xr3:uid="{00000000-0010-0000-0000-000003000000}" name="Tipo trabajador"/>
    <tableColumn id="4" xr3:uid="{00000000-0010-0000-0000-000004000000}" name="Sexo"/>
    <tableColumn id="5" xr3:uid="{00000000-0010-0000-0000-000005000000}" name="Área "/>
    <tableColumn id="6" xr3:uid="{00000000-0010-0000-0000-000006000000}" name="Estado Cita"/>
    <tableColumn id="7" xr3:uid="{00000000-0010-0000-0000-000007000000}" name="% grasa"/>
    <tableColumn id="8" xr3:uid="{00000000-0010-0000-0000-000008000000}" name="Condición"/>
    <tableColumn id="9" xr3:uid="{00000000-0010-0000-0000-000009000000}" name="Padecimiento Crónico"/>
    <tableColumn id="10" xr3:uid="{00000000-0010-0000-0000-00000A000000}" name="Diagnóstico Macro"/>
    <tableColumn id="11" xr3:uid="{00000000-0010-0000-0000-00000B000000}" name="Diagnóstico Micro"/>
    <tableColumn id="12" xr3:uid="{00000000-0010-0000-0000-00000C000000}" name="Instancia de atención"/>
    <tableColumn id="13" xr3:uid="{00000000-0010-0000-0000-00000D000000}" name="Laboratorio"/>
    <tableColumn id="14" xr3:uid="{00000000-0010-0000-0000-00000E000000}" name="Rayos &quot;X&quot;"/>
    <tableColumn id="15" xr3:uid="{00000000-0010-0000-0000-00000F000000}" name="Consulta adicional"/>
    <tableColumn id="16" xr3:uid="{00000000-0010-0000-0000-000010000000}" name="Incapacidad"/>
    <tableColumn id="17" xr3:uid="{00000000-0010-0000-0000-000011000000}" name="Días"/>
    <tableColumn id="18" xr3:uid="{00000000-0010-0000-0000-000012000000}" name="Monto de la consul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8"/>
  <sheetViews>
    <sheetView topLeftCell="J1" workbookViewId="0">
      <selection activeCell="K9" sqref="K9"/>
    </sheetView>
  </sheetViews>
  <sheetFormatPr baseColWidth="10" defaultColWidth="11.42578125" defaultRowHeight="15" x14ac:dyDescent="0.25"/>
  <cols>
    <col min="2" max="2" width="5.28515625" bestFit="1" customWidth="1"/>
    <col min="3" max="3" width="14.5703125" bestFit="1" customWidth="1"/>
    <col min="4" max="4" width="11.5703125" customWidth="1"/>
    <col min="5" max="5" width="5.5703125" bestFit="1" customWidth="1"/>
    <col min="6" max="6" width="10.7109375" bestFit="1" customWidth="1"/>
    <col min="7" max="7" width="7.5703125" bestFit="1" customWidth="1"/>
    <col min="8" max="8" width="16.5703125" bestFit="1" customWidth="1"/>
    <col min="9" max="9" width="20.7109375" bestFit="1" customWidth="1"/>
    <col min="10" max="10" width="17" bestFit="1" customWidth="1"/>
    <col min="11" max="11" width="17.5703125" bestFit="1" customWidth="1"/>
    <col min="12" max="12" width="20" bestFit="1" customWidth="1"/>
    <col min="13" max="13" width="11.140625" bestFit="1" customWidth="1"/>
    <col min="14" max="14" width="9.7109375" bestFit="1" customWidth="1"/>
    <col min="15" max="15" width="17.42578125" bestFit="1" customWidth="1"/>
    <col min="17" max="17" width="4.7109375" bestFit="1" customWidth="1"/>
    <col min="18" max="18" width="19.85546875" bestFit="1" customWidth="1"/>
  </cols>
  <sheetData>
    <row r="1" spans="1:18" s="1" customFormat="1" ht="33" customHeight="1" x14ac:dyDescent="0.4">
      <c r="A1" s="29" t="s">
        <v>78</v>
      </c>
      <c r="B1" s="30"/>
      <c r="C1" s="30"/>
      <c r="D1" s="30"/>
      <c r="E1" s="30"/>
      <c r="F1" s="30"/>
      <c r="G1" s="30"/>
      <c r="H1" s="30"/>
      <c r="I1" s="30"/>
      <c r="J1" s="30"/>
      <c r="K1" s="30"/>
      <c r="L1" s="30"/>
      <c r="M1" s="30"/>
      <c r="N1" s="31"/>
    </row>
    <row r="2" spans="1:18" s="1" customFormat="1" ht="42.75" customHeight="1" x14ac:dyDescent="0.4">
      <c r="A2" s="32" t="s">
        <v>77</v>
      </c>
      <c r="B2" s="33"/>
      <c r="C2" s="33"/>
      <c r="D2" s="33"/>
      <c r="E2" s="33"/>
      <c r="F2" s="33"/>
      <c r="G2" s="33"/>
      <c r="H2" s="33"/>
      <c r="I2" s="33"/>
      <c r="J2" s="33"/>
      <c r="K2" s="33"/>
      <c r="L2" s="33"/>
      <c r="M2" s="33"/>
      <c r="N2" s="34"/>
    </row>
    <row r="3" spans="1:18" s="1" customFormat="1" ht="16.5" thickBot="1" x14ac:dyDescent="0.3">
      <c r="B3" s="4"/>
      <c r="C3" s="4"/>
    </row>
    <row r="4" spans="1:18" s="2" customFormat="1" ht="15.75" thickBot="1" x14ac:dyDescent="0.3">
      <c r="A4" s="5" t="s">
        <v>76</v>
      </c>
      <c r="B4" s="6" t="s">
        <v>0</v>
      </c>
      <c r="C4" s="6" t="s">
        <v>79</v>
      </c>
      <c r="D4" s="6" t="s">
        <v>1</v>
      </c>
      <c r="E4" s="6" t="s">
        <v>80</v>
      </c>
      <c r="F4" s="6" t="s">
        <v>7</v>
      </c>
      <c r="G4" s="6" t="s">
        <v>84</v>
      </c>
      <c r="H4" s="6" t="s">
        <v>105</v>
      </c>
      <c r="I4" s="6" t="s">
        <v>8</v>
      </c>
      <c r="J4" s="6" t="s">
        <v>2</v>
      </c>
      <c r="K4" s="6" t="s">
        <v>3</v>
      </c>
      <c r="L4" s="6" t="s">
        <v>127</v>
      </c>
      <c r="M4" s="6" t="s">
        <v>81</v>
      </c>
      <c r="N4" s="6" t="s">
        <v>82</v>
      </c>
      <c r="O4" s="6" t="s">
        <v>106</v>
      </c>
      <c r="P4" s="6" t="s">
        <v>6</v>
      </c>
      <c r="Q4" s="6" t="s">
        <v>4</v>
      </c>
      <c r="R4" s="7" t="s">
        <v>83</v>
      </c>
    </row>
    <row r="5" spans="1:18" x14ac:dyDescent="0.25">
      <c r="A5" s="1">
        <v>60000001</v>
      </c>
      <c r="B5" s="3">
        <v>24</v>
      </c>
      <c r="C5" s="3">
        <v>1</v>
      </c>
      <c r="D5" s="3">
        <v>1</v>
      </c>
      <c r="E5" s="3">
        <v>11</v>
      </c>
      <c r="F5" s="3">
        <v>1</v>
      </c>
      <c r="G5" s="3">
        <v>20</v>
      </c>
      <c r="H5" s="3">
        <v>3</v>
      </c>
      <c r="I5" s="3">
        <v>6</v>
      </c>
      <c r="J5" s="3">
        <v>9</v>
      </c>
      <c r="K5" s="3">
        <v>41</v>
      </c>
      <c r="L5" s="3">
        <v>1</v>
      </c>
      <c r="M5" s="3">
        <v>2</v>
      </c>
      <c r="N5" s="3">
        <v>2</v>
      </c>
      <c r="O5" s="3">
        <v>2</v>
      </c>
      <c r="P5" s="3">
        <v>2</v>
      </c>
      <c r="Q5" s="3">
        <v>0</v>
      </c>
      <c r="R5" s="3">
        <v>32249</v>
      </c>
    </row>
    <row r="6" spans="1:18" x14ac:dyDescent="0.25">
      <c r="A6" s="1">
        <v>60000002</v>
      </c>
      <c r="B6" s="3">
        <v>43</v>
      </c>
      <c r="C6" s="3">
        <v>2</v>
      </c>
      <c r="D6" s="3">
        <v>2</v>
      </c>
      <c r="E6" s="3">
        <v>6</v>
      </c>
      <c r="F6">
        <v>1</v>
      </c>
      <c r="G6" s="3">
        <v>32</v>
      </c>
      <c r="H6" s="3">
        <v>5</v>
      </c>
      <c r="I6" s="3">
        <v>16</v>
      </c>
      <c r="J6" s="3">
        <v>1</v>
      </c>
      <c r="K6" s="3">
        <v>43</v>
      </c>
      <c r="L6" s="3">
        <v>1</v>
      </c>
      <c r="M6" s="3">
        <v>2</v>
      </c>
      <c r="N6" s="3">
        <v>2</v>
      </c>
      <c r="O6" s="3">
        <v>2</v>
      </c>
      <c r="P6" s="3">
        <v>2</v>
      </c>
      <c r="Q6" s="3">
        <v>0</v>
      </c>
      <c r="R6" s="3">
        <v>50190</v>
      </c>
    </row>
    <row r="7" spans="1:18" x14ac:dyDescent="0.25">
      <c r="A7" s="1">
        <v>60000003</v>
      </c>
      <c r="B7" s="3">
        <v>38</v>
      </c>
      <c r="C7" s="3">
        <v>1</v>
      </c>
      <c r="D7" s="3">
        <v>1</v>
      </c>
      <c r="E7" s="3">
        <v>2</v>
      </c>
      <c r="F7">
        <v>1</v>
      </c>
      <c r="G7" s="3">
        <v>20</v>
      </c>
      <c r="H7" s="3">
        <v>3</v>
      </c>
      <c r="I7" s="3">
        <v>16</v>
      </c>
      <c r="J7" s="3">
        <v>7</v>
      </c>
      <c r="K7" s="3">
        <v>29</v>
      </c>
      <c r="L7" s="3">
        <v>1</v>
      </c>
      <c r="M7" s="3">
        <v>2</v>
      </c>
      <c r="N7" s="3">
        <v>2</v>
      </c>
      <c r="O7" s="3">
        <v>2</v>
      </c>
      <c r="P7" s="3">
        <v>1</v>
      </c>
      <c r="Q7" s="3">
        <v>3</v>
      </c>
      <c r="R7" s="3">
        <v>53861</v>
      </c>
    </row>
    <row r="8" spans="1:18" x14ac:dyDescent="0.25">
      <c r="A8" s="1">
        <v>60000004</v>
      </c>
      <c r="B8" s="3">
        <v>40</v>
      </c>
      <c r="C8" s="3">
        <v>1</v>
      </c>
      <c r="D8" s="3">
        <v>1</v>
      </c>
      <c r="E8" s="3">
        <v>9</v>
      </c>
      <c r="F8">
        <v>1</v>
      </c>
      <c r="G8" s="3">
        <v>23</v>
      </c>
      <c r="H8" s="3">
        <v>3</v>
      </c>
      <c r="I8" s="3">
        <v>14</v>
      </c>
      <c r="J8" s="3">
        <v>12</v>
      </c>
      <c r="K8" s="3">
        <v>39</v>
      </c>
      <c r="L8" s="3">
        <v>1</v>
      </c>
      <c r="M8" s="3">
        <v>2</v>
      </c>
      <c r="N8" s="3">
        <v>2</v>
      </c>
      <c r="O8" s="3">
        <v>2</v>
      </c>
      <c r="P8" s="3">
        <v>2</v>
      </c>
      <c r="Q8" s="3">
        <v>0</v>
      </c>
      <c r="R8" s="3">
        <v>63985</v>
      </c>
    </row>
    <row r="9" spans="1:18" x14ac:dyDescent="0.25">
      <c r="A9" s="1">
        <v>60000005</v>
      </c>
      <c r="B9" s="3">
        <v>61</v>
      </c>
      <c r="C9" s="3">
        <v>1</v>
      </c>
      <c r="D9" s="3">
        <v>2</v>
      </c>
      <c r="E9" s="3">
        <v>6</v>
      </c>
      <c r="F9" s="3">
        <v>1</v>
      </c>
      <c r="G9" s="3">
        <v>36</v>
      </c>
      <c r="H9" s="3">
        <v>5</v>
      </c>
      <c r="I9" s="3">
        <v>12</v>
      </c>
      <c r="J9" s="3">
        <v>6</v>
      </c>
      <c r="K9" s="3">
        <v>46</v>
      </c>
      <c r="L9" s="3">
        <v>1</v>
      </c>
      <c r="M9" s="3">
        <v>2</v>
      </c>
      <c r="N9" s="3">
        <v>2</v>
      </c>
      <c r="O9" s="3">
        <v>2</v>
      </c>
      <c r="P9" s="3">
        <v>1</v>
      </c>
      <c r="Q9" s="3">
        <v>2</v>
      </c>
      <c r="R9" s="3">
        <v>71975</v>
      </c>
    </row>
    <row r="10" spans="1:18" x14ac:dyDescent="0.25">
      <c r="A10" s="1">
        <v>60000006</v>
      </c>
      <c r="B10" s="3">
        <v>27</v>
      </c>
      <c r="C10" s="3">
        <v>1</v>
      </c>
      <c r="D10" s="3">
        <v>1</v>
      </c>
      <c r="E10" s="3">
        <v>6</v>
      </c>
      <c r="F10">
        <v>1</v>
      </c>
      <c r="G10" s="3">
        <v>38</v>
      </c>
      <c r="H10" s="3">
        <v>5</v>
      </c>
      <c r="I10" s="3">
        <v>9</v>
      </c>
      <c r="J10" s="3">
        <v>5</v>
      </c>
      <c r="K10" s="3">
        <v>7</v>
      </c>
      <c r="L10" s="3">
        <v>1</v>
      </c>
      <c r="M10" s="3">
        <v>2</v>
      </c>
      <c r="N10" s="3">
        <v>2</v>
      </c>
      <c r="O10" s="3">
        <v>2</v>
      </c>
      <c r="P10" s="3">
        <v>2</v>
      </c>
      <c r="Q10" s="3">
        <v>0</v>
      </c>
      <c r="R10" s="3">
        <v>38682</v>
      </c>
    </row>
    <row r="11" spans="1:18" x14ac:dyDescent="0.25">
      <c r="A11" s="1">
        <v>60000007</v>
      </c>
      <c r="B11" s="3">
        <v>27</v>
      </c>
      <c r="C11" s="3">
        <v>1</v>
      </c>
      <c r="D11" s="3">
        <v>2</v>
      </c>
      <c r="E11" s="3">
        <v>7</v>
      </c>
      <c r="F11">
        <v>1</v>
      </c>
      <c r="G11" s="3">
        <v>13</v>
      </c>
      <c r="H11" s="3">
        <v>2</v>
      </c>
      <c r="I11" s="3">
        <v>5</v>
      </c>
      <c r="J11" s="3">
        <v>6</v>
      </c>
      <c r="K11" s="3">
        <v>18</v>
      </c>
      <c r="L11" s="3">
        <v>1</v>
      </c>
      <c r="M11" s="3">
        <v>2</v>
      </c>
      <c r="N11" s="3">
        <v>2</v>
      </c>
      <c r="O11" s="3">
        <v>2</v>
      </c>
      <c r="P11" s="3">
        <v>2</v>
      </c>
      <c r="Q11" s="3">
        <v>0</v>
      </c>
      <c r="R11" s="3">
        <v>69924</v>
      </c>
    </row>
    <row r="12" spans="1:18" x14ac:dyDescent="0.25">
      <c r="A12" s="1">
        <v>60000008</v>
      </c>
      <c r="B12" s="3">
        <v>58</v>
      </c>
      <c r="C12" s="3">
        <v>1</v>
      </c>
      <c r="D12" s="3">
        <v>2</v>
      </c>
      <c r="E12" s="3">
        <v>7</v>
      </c>
      <c r="F12">
        <v>1</v>
      </c>
      <c r="G12" s="3">
        <v>18</v>
      </c>
      <c r="H12" s="3">
        <v>2</v>
      </c>
      <c r="I12" s="3">
        <v>13</v>
      </c>
      <c r="J12" s="3">
        <v>12</v>
      </c>
      <c r="K12" s="3">
        <v>41</v>
      </c>
      <c r="L12" s="3">
        <v>1</v>
      </c>
      <c r="M12" s="3">
        <v>2</v>
      </c>
      <c r="N12" s="3">
        <v>2</v>
      </c>
      <c r="O12" s="3">
        <v>2</v>
      </c>
      <c r="P12" s="3">
        <v>1</v>
      </c>
      <c r="Q12" s="3">
        <v>3</v>
      </c>
      <c r="R12" s="3">
        <v>41810</v>
      </c>
    </row>
    <row r="13" spans="1:18" x14ac:dyDescent="0.25">
      <c r="A13" s="1">
        <v>60000009</v>
      </c>
      <c r="B13" s="3">
        <v>33</v>
      </c>
      <c r="C13" s="3">
        <v>1</v>
      </c>
      <c r="D13" s="3">
        <v>2</v>
      </c>
      <c r="E13" s="3">
        <v>10</v>
      </c>
      <c r="F13" s="3">
        <v>1</v>
      </c>
      <c r="G13" s="3">
        <v>38</v>
      </c>
      <c r="H13" s="3">
        <v>5</v>
      </c>
      <c r="I13" s="3">
        <v>1</v>
      </c>
      <c r="J13" s="3">
        <v>9</v>
      </c>
      <c r="K13" s="3">
        <v>42</v>
      </c>
      <c r="L13" s="3">
        <v>1</v>
      </c>
      <c r="M13" s="3">
        <v>2</v>
      </c>
      <c r="N13" s="3">
        <v>2</v>
      </c>
      <c r="O13" s="3">
        <v>2</v>
      </c>
      <c r="P13" s="3">
        <v>1</v>
      </c>
      <c r="Q13" s="3">
        <v>7</v>
      </c>
      <c r="R13" s="3">
        <v>56001</v>
      </c>
    </row>
    <row r="14" spans="1:18" x14ac:dyDescent="0.25">
      <c r="A14" s="1">
        <v>60000010</v>
      </c>
      <c r="B14" s="3">
        <v>34</v>
      </c>
      <c r="C14" s="3">
        <v>1</v>
      </c>
      <c r="D14" s="3">
        <v>2</v>
      </c>
      <c r="E14" s="3">
        <v>7</v>
      </c>
      <c r="F14">
        <v>1</v>
      </c>
      <c r="G14" s="3">
        <v>21</v>
      </c>
      <c r="H14" s="3">
        <v>3</v>
      </c>
      <c r="I14" s="3">
        <v>8</v>
      </c>
      <c r="J14" s="3">
        <v>11</v>
      </c>
      <c r="K14" s="3">
        <v>24</v>
      </c>
      <c r="L14" s="3">
        <v>1</v>
      </c>
      <c r="M14" s="3">
        <v>2</v>
      </c>
      <c r="N14" s="3">
        <v>2</v>
      </c>
      <c r="O14" s="3">
        <v>2</v>
      </c>
      <c r="P14" s="3">
        <v>2</v>
      </c>
      <c r="Q14" s="3">
        <v>0</v>
      </c>
      <c r="R14" s="3">
        <v>41600</v>
      </c>
    </row>
    <row r="15" spans="1:18" x14ac:dyDescent="0.25">
      <c r="A15" s="1">
        <v>60000011</v>
      </c>
      <c r="B15" s="3">
        <v>49</v>
      </c>
      <c r="C15" s="3">
        <v>1</v>
      </c>
      <c r="D15" s="3">
        <v>2</v>
      </c>
      <c r="E15" s="3">
        <v>11</v>
      </c>
      <c r="F15">
        <v>1</v>
      </c>
      <c r="G15" s="3">
        <v>18</v>
      </c>
      <c r="H15" s="3">
        <v>2</v>
      </c>
      <c r="I15" s="3">
        <v>15</v>
      </c>
      <c r="J15" s="3">
        <v>2</v>
      </c>
      <c r="K15" s="3">
        <v>44</v>
      </c>
      <c r="L15" s="3">
        <v>1</v>
      </c>
      <c r="M15" s="3">
        <v>2</v>
      </c>
      <c r="N15" s="3">
        <v>2</v>
      </c>
      <c r="O15" s="3">
        <v>2</v>
      </c>
      <c r="P15" s="3">
        <v>2</v>
      </c>
      <c r="Q15" s="3">
        <v>0</v>
      </c>
      <c r="R15" s="3">
        <v>62931</v>
      </c>
    </row>
    <row r="16" spans="1:18" x14ac:dyDescent="0.25">
      <c r="A16" s="1">
        <v>60000012</v>
      </c>
      <c r="B16" s="3">
        <v>31</v>
      </c>
      <c r="C16" s="3">
        <v>1</v>
      </c>
      <c r="D16" s="3">
        <v>1</v>
      </c>
      <c r="E16" s="3">
        <v>12</v>
      </c>
      <c r="F16">
        <v>1</v>
      </c>
      <c r="G16" s="3">
        <v>16</v>
      </c>
      <c r="H16" s="3">
        <v>2</v>
      </c>
      <c r="I16" s="3">
        <v>5</v>
      </c>
      <c r="J16" s="3">
        <v>3</v>
      </c>
      <c r="K16" s="3">
        <v>32</v>
      </c>
      <c r="L16" s="3">
        <v>1</v>
      </c>
      <c r="M16" s="3">
        <v>2</v>
      </c>
      <c r="N16" s="3">
        <v>2</v>
      </c>
      <c r="O16" s="3">
        <v>2</v>
      </c>
      <c r="P16" s="3">
        <v>2</v>
      </c>
      <c r="Q16" s="3">
        <v>0</v>
      </c>
      <c r="R16" s="3">
        <v>67313</v>
      </c>
    </row>
    <row r="17" spans="1:18" x14ac:dyDescent="0.25">
      <c r="A17" s="1">
        <v>60000013</v>
      </c>
      <c r="B17" s="3">
        <v>29</v>
      </c>
      <c r="C17" s="3">
        <v>1</v>
      </c>
      <c r="D17" s="3">
        <v>2</v>
      </c>
      <c r="E17" s="3">
        <v>1</v>
      </c>
      <c r="F17" s="3">
        <v>1</v>
      </c>
      <c r="G17" s="3">
        <v>32</v>
      </c>
      <c r="H17" s="3">
        <v>5</v>
      </c>
      <c r="I17" s="3">
        <v>5</v>
      </c>
      <c r="J17" s="3">
        <v>6</v>
      </c>
      <c r="K17" s="3">
        <v>22</v>
      </c>
      <c r="L17" s="3">
        <v>1</v>
      </c>
      <c r="M17" s="3">
        <v>2</v>
      </c>
      <c r="N17" s="3">
        <v>2</v>
      </c>
      <c r="O17" s="3">
        <v>2</v>
      </c>
      <c r="P17" s="3">
        <v>1</v>
      </c>
      <c r="Q17" s="3">
        <v>6</v>
      </c>
      <c r="R17" s="3">
        <v>53872</v>
      </c>
    </row>
    <row r="18" spans="1:18" x14ac:dyDescent="0.25">
      <c r="A18" s="1">
        <v>60000014</v>
      </c>
      <c r="B18" s="3">
        <v>21</v>
      </c>
      <c r="C18" s="3">
        <v>1</v>
      </c>
      <c r="D18" s="3">
        <v>2</v>
      </c>
      <c r="E18" s="3">
        <v>9</v>
      </c>
      <c r="F18">
        <v>1</v>
      </c>
      <c r="G18" s="3">
        <v>18</v>
      </c>
      <c r="H18" s="3">
        <v>2</v>
      </c>
      <c r="I18" s="3">
        <v>1</v>
      </c>
      <c r="J18" s="3">
        <v>1</v>
      </c>
      <c r="K18" s="3">
        <v>41</v>
      </c>
      <c r="L18" s="3">
        <v>1</v>
      </c>
      <c r="M18" s="3">
        <v>2</v>
      </c>
      <c r="N18" s="3">
        <v>2</v>
      </c>
      <c r="O18" s="3">
        <v>2</v>
      </c>
      <c r="P18" s="3">
        <v>2</v>
      </c>
      <c r="Q18" s="3">
        <v>0</v>
      </c>
      <c r="R18" s="3">
        <v>79273</v>
      </c>
    </row>
    <row r="19" spans="1:18" x14ac:dyDescent="0.25">
      <c r="A19" s="1">
        <v>60000015</v>
      </c>
      <c r="B19" s="3">
        <v>35</v>
      </c>
      <c r="C19" s="3">
        <v>2</v>
      </c>
      <c r="D19" s="3">
        <v>1</v>
      </c>
      <c r="E19" s="3">
        <v>12</v>
      </c>
      <c r="F19">
        <v>1</v>
      </c>
      <c r="G19" s="3">
        <v>34</v>
      </c>
      <c r="H19" s="3">
        <v>5</v>
      </c>
      <c r="I19" s="3">
        <v>14</v>
      </c>
      <c r="J19" s="3">
        <v>2</v>
      </c>
      <c r="K19" s="3">
        <v>11</v>
      </c>
      <c r="L19" s="3">
        <v>1</v>
      </c>
      <c r="M19" s="3">
        <v>2</v>
      </c>
      <c r="N19" s="3">
        <v>2</v>
      </c>
      <c r="O19" s="3">
        <v>2</v>
      </c>
      <c r="P19" s="3">
        <v>1</v>
      </c>
      <c r="Q19" s="3">
        <v>1</v>
      </c>
      <c r="R19" s="3">
        <v>38824</v>
      </c>
    </row>
    <row r="20" spans="1:18" x14ac:dyDescent="0.25">
      <c r="A20" s="1">
        <v>60000016</v>
      </c>
      <c r="B20" s="3">
        <v>42</v>
      </c>
      <c r="C20" s="3">
        <v>1</v>
      </c>
      <c r="D20" s="3">
        <v>2</v>
      </c>
      <c r="E20" s="3">
        <v>2</v>
      </c>
      <c r="F20">
        <v>1</v>
      </c>
      <c r="G20" s="3">
        <v>31</v>
      </c>
      <c r="H20" s="3">
        <v>4</v>
      </c>
      <c r="I20" s="3">
        <v>9</v>
      </c>
      <c r="J20" s="3">
        <v>1</v>
      </c>
      <c r="K20" s="3">
        <v>42</v>
      </c>
      <c r="L20" s="3">
        <v>1</v>
      </c>
      <c r="M20" s="3">
        <v>2</v>
      </c>
      <c r="N20" s="3">
        <v>2</v>
      </c>
      <c r="O20" s="3">
        <v>2</v>
      </c>
      <c r="P20" s="3">
        <v>2</v>
      </c>
      <c r="Q20" s="3">
        <v>0</v>
      </c>
      <c r="R20" s="3">
        <v>69303</v>
      </c>
    </row>
    <row r="21" spans="1:18" x14ac:dyDescent="0.25">
      <c r="A21" s="1">
        <v>60000017</v>
      </c>
      <c r="B21" s="3">
        <v>64</v>
      </c>
      <c r="C21" s="3">
        <v>2</v>
      </c>
      <c r="D21" s="3">
        <v>1</v>
      </c>
      <c r="E21" s="3">
        <v>7</v>
      </c>
      <c r="F21" s="3">
        <v>1</v>
      </c>
      <c r="G21" s="3">
        <v>36</v>
      </c>
      <c r="H21" s="3">
        <v>5</v>
      </c>
      <c r="I21" s="3">
        <v>14</v>
      </c>
      <c r="J21" s="3">
        <v>9</v>
      </c>
      <c r="K21" s="3">
        <v>39</v>
      </c>
      <c r="L21" s="3">
        <v>1</v>
      </c>
      <c r="M21" s="3">
        <v>2</v>
      </c>
      <c r="N21" s="3">
        <v>2</v>
      </c>
      <c r="O21" s="3">
        <v>2</v>
      </c>
      <c r="P21" s="3">
        <v>2</v>
      </c>
      <c r="Q21" s="3">
        <v>0</v>
      </c>
      <c r="R21" s="3">
        <v>43397</v>
      </c>
    </row>
    <row r="22" spans="1:18" x14ac:dyDescent="0.25">
      <c r="A22" s="1">
        <v>60000018</v>
      </c>
      <c r="B22" s="3">
        <v>22</v>
      </c>
      <c r="C22" s="3">
        <v>1</v>
      </c>
      <c r="D22" s="3">
        <v>1</v>
      </c>
      <c r="E22" s="3">
        <v>11</v>
      </c>
      <c r="F22">
        <v>1</v>
      </c>
      <c r="G22" s="3">
        <v>12</v>
      </c>
      <c r="H22" s="3">
        <v>2</v>
      </c>
      <c r="I22" s="3">
        <v>15</v>
      </c>
      <c r="J22" s="3">
        <v>2</v>
      </c>
      <c r="K22" s="3">
        <v>23</v>
      </c>
      <c r="L22" s="3">
        <v>1</v>
      </c>
      <c r="M22" s="3">
        <v>2</v>
      </c>
      <c r="N22" s="3">
        <v>2</v>
      </c>
      <c r="O22" s="3">
        <v>2</v>
      </c>
      <c r="P22" s="3">
        <v>2</v>
      </c>
      <c r="Q22" s="3">
        <v>0</v>
      </c>
      <c r="R22" s="3">
        <v>46382</v>
      </c>
    </row>
    <row r="23" spans="1:18" x14ac:dyDescent="0.25">
      <c r="A23" s="1">
        <v>60000019</v>
      </c>
      <c r="B23" s="3">
        <v>34</v>
      </c>
      <c r="C23" s="3">
        <v>2</v>
      </c>
      <c r="D23" s="3">
        <v>1</v>
      </c>
      <c r="E23" s="3">
        <v>2</v>
      </c>
      <c r="F23">
        <v>1</v>
      </c>
      <c r="G23" s="3">
        <v>32</v>
      </c>
      <c r="H23" s="3">
        <v>5</v>
      </c>
      <c r="I23" s="3">
        <v>14</v>
      </c>
      <c r="J23" s="3">
        <v>4</v>
      </c>
      <c r="K23" s="3">
        <v>30</v>
      </c>
      <c r="L23" s="3">
        <v>1</v>
      </c>
      <c r="M23" s="3">
        <v>2</v>
      </c>
      <c r="N23" s="3">
        <v>2</v>
      </c>
      <c r="O23" s="3">
        <v>2</v>
      </c>
      <c r="P23" s="3">
        <v>2</v>
      </c>
      <c r="Q23" s="3">
        <v>0</v>
      </c>
      <c r="R23" s="3">
        <v>53991</v>
      </c>
    </row>
    <row r="24" spans="1:18" x14ac:dyDescent="0.25">
      <c r="A24" s="1">
        <v>60000020</v>
      </c>
      <c r="B24" s="3">
        <v>59</v>
      </c>
      <c r="C24" s="3">
        <v>1</v>
      </c>
      <c r="D24" s="3">
        <v>2</v>
      </c>
      <c r="E24" s="3">
        <v>4</v>
      </c>
      <c r="F24">
        <v>1</v>
      </c>
      <c r="G24" s="3">
        <v>27</v>
      </c>
      <c r="H24" s="3">
        <v>4</v>
      </c>
      <c r="I24" s="3">
        <v>15</v>
      </c>
      <c r="J24" s="3">
        <v>2</v>
      </c>
      <c r="K24" s="3">
        <v>26</v>
      </c>
      <c r="L24" s="3">
        <v>1</v>
      </c>
      <c r="M24" s="3">
        <v>2</v>
      </c>
      <c r="N24" s="3">
        <v>2</v>
      </c>
      <c r="O24" s="3">
        <v>2</v>
      </c>
      <c r="P24" s="3">
        <v>1</v>
      </c>
      <c r="Q24" s="3">
        <v>6</v>
      </c>
      <c r="R24" s="3">
        <v>63210</v>
      </c>
    </row>
    <row r="25" spans="1:18" x14ac:dyDescent="0.25">
      <c r="A25" s="1">
        <v>60000021</v>
      </c>
      <c r="B25" s="3">
        <v>55</v>
      </c>
      <c r="C25" s="3">
        <v>1</v>
      </c>
      <c r="D25" s="3">
        <v>2</v>
      </c>
      <c r="E25" s="3">
        <v>11</v>
      </c>
      <c r="F25" s="3">
        <v>1</v>
      </c>
      <c r="G25" s="3">
        <v>27</v>
      </c>
      <c r="H25" s="3">
        <v>4</v>
      </c>
      <c r="I25" s="3">
        <v>17</v>
      </c>
      <c r="J25" s="3">
        <v>2</v>
      </c>
      <c r="K25" s="3">
        <v>18</v>
      </c>
      <c r="L25" s="3">
        <v>1</v>
      </c>
      <c r="M25" s="3">
        <v>2</v>
      </c>
      <c r="N25" s="3">
        <v>2</v>
      </c>
      <c r="O25" s="3">
        <v>2</v>
      </c>
      <c r="P25" s="3">
        <v>1</v>
      </c>
      <c r="Q25" s="3">
        <v>4</v>
      </c>
      <c r="R25" s="3">
        <v>72718</v>
      </c>
    </row>
    <row r="26" spans="1:18" x14ac:dyDescent="0.25">
      <c r="A26" s="1">
        <v>60000022</v>
      </c>
      <c r="B26" s="3">
        <v>50</v>
      </c>
      <c r="C26" s="3">
        <v>1</v>
      </c>
      <c r="D26" s="3">
        <v>2</v>
      </c>
      <c r="E26" s="3">
        <v>7</v>
      </c>
      <c r="F26">
        <v>1</v>
      </c>
      <c r="G26" s="3">
        <v>38</v>
      </c>
      <c r="H26" s="3">
        <v>5</v>
      </c>
      <c r="I26" s="3">
        <v>13</v>
      </c>
      <c r="J26" s="3">
        <v>10</v>
      </c>
      <c r="K26" s="3">
        <v>23</v>
      </c>
      <c r="L26" s="3">
        <v>1</v>
      </c>
      <c r="M26" s="3">
        <v>2</v>
      </c>
      <c r="N26" s="3">
        <v>2</v>
      </c>
      <c r="O26" s="3">
        <v>2</v>
      </c>
      <c r="P26" s="3">
        <v>1</v>
      </c>
      <c r="Q26" s="3">
        <v>3</v>
      </c>
      <c r="R26" s="3">
        <v>74859</v>
      </c>
    </row>
    <row r="27" spans="1:18" x14ac:dyDescent="0.25">
      <c r="A27" s="1">
        <v>60000023</v>
      </c>
      <c r="B27" s="3">
        <v>55</v>
      </c>
      <c r="C27" s="3">
        <v>1</v>
      </c>
      <c r="D27" s="3">
        <v>1</v>
      </c>
      <c r="E27" s="3">
        <v>12</v>
      </c>
      <c r="F27">
        <v>1</v>
      </c>
      <c r="G27" s="3">
        <v>32</v>
      </c>
      <c r="H27" s="3">
        <v>5</v>
      </c>
      <c r="I27" s="3">
        <v>5</v>
      </c>
      <c r="J27" s="3">
        <v>3</v>
      </c>
      <c r="K27" s="3">
        <v>14</v>
      </c>
      <c r="L27" s="3">
        <v>1</v>
      </c>
      <c r="M27" s="3">
        <v>2</v>
      </c>
      <c r="N27" s="3">
        <v>2</v>
      </c>
      <c r="O27" s="3">
        <v>2</v>
      </c>
      <c r="P27" s="3">
        <v>2</v>
      </c>
      <c r="Q27" s="3">
        <v>0</v>
      </c>
      <c r="R27" s="3">
        <v>76036</v>
      </c>
    </row>
    <row r="28" spans="1:18" x14ac:dyDescent="0.25">
      <c r="A28" s="1">
        <v>60000024</v>
      </c>
      <c r="B28" s="3">
        <v>47</v>
      </c>
      <c r="C28" s="3">
        <v>2</v>
      </c>
      <c r="D28" s="3">
        <v>2</v>
      </c>
      <c r="E28" s="3">
        <v>6</v>
      </c>
      <c r="F28">
        <v>1</v>
      </c>
      <c r="G28" s="3">
        <v>17</v>
      </c>
      <c r="H28" s="3">
        <v>2</v>
      </c>
      <c r="I28" s="3">
        <v>1</v>
      </c>
      <c r="J28" s="3">
        <v>11</v>
      </c>
      <c r="K28" s="3">
        <v>33</v>
      </c>
      <c r="L28" s="3">
        <v>1</v>
      </c>
      <c r="M28" s="3">
        <v>2</v>
      </c>
      <c r="N28" s="3">
        <v>2</v>
      </c>
      <c r="O28" s="3">
        <v>2</v>
      </c>
      <c r="P28" s="3">
        <v>2</v>
      </c>
      <c r="Q28" s="3">
        <v>0</v>
      </c>
      <c r="R28" s="3">
        <v>54782</v>
      </c>
    </row>
    <row r="29" spans="1:18" x14ac:dyDescent="0.25">
      <c r="A29" s="1">
        <v>60000025</v>
      </c>
      <c r="B29" s="3">
        <v>24</v>
      </c>
      <c r="C29" s="3">
        <v>1</v>
      </c>
      <c r="D29" s="3">
        <v>2</v>
      </c>
      <c r="E29" s="3">
        <v>11</v>
      </c>
      <c r="F29" s="3">
        <v>1</v>
      </c>
      <c r="G29" s="3">
        <v>25</v>
      </c>
      <c r="H29" s="3">
        <v>4</v>
      </c>
      <c r="I29" s="3">
        <v>16</v>
      </c>
      <c r="J29" s="3">
        <v>4</v>
      </c>
      <c r="K29" s="3">
        <v>24</v>
      </c>
      <c r="L29" s="3">
        <v>1</v>
      </c>
      <c r="M29" s="3">
        <v>2</v>
      </c>
      <c r="N29" s="3">
        <v>2</v>
      </c>
      <c r="O29" s="3">
        <v>2</v>
      </c>
      <c r="P29" s="3">
        <v>2</v>
      </c>
      <c r="Q29" s="3">
        <v>0</v>
      </c>
      <c r="R29" s="3">
        <v>76364</v>
      </c>
    </row>
    <row r="30" spans="1:18" x14ac:dyDescent="0.25">
      <c r="A30" s="1">
        <v>60000026</v>
      </c>
      <c r="B30" s="3">
        <v>47</v>
      </c>
      <c r="C30" s="3">
        <v>1</v>
      </c>
      <c r="D30" s="3">
        <v>1</v>
      </c>
      <c r="E30" s="3">
        <v>6</v>
      </c>
      <c r="F30">
        <v>1</v>
      </c>
      <c r="G30" s="3">
        <v>24</v>
      </c>
      <c r="H30" s="3">
        <v>3</v>
      </c>
      <c r="I30" s="3">
        <v>13</v>
      </c>
      <c r="J30" s="3">
        <v>5</v>
      </c>
      <c r="K30" s="3">
        <v>7</v>
      </c>
      <c r="L30" s="3">
        <v>1</v>
      </c>
      <c r="M30" s="3">
        <v>2</v>
      </c>
      <c r="N30" s="3">
        <v>2</v>
      </c>
      <c r="O30" s="3">
        <v>2</v>
      </c>
      <c r="P30" s="3">
        <v>1</v>
      </c>
      <c r="Q30" s="3">
        <v>1</v>
      </c>
      <c r="R30" s="3">
        <v>78267</v>
      </c>
    </row>
    <row r="31" spans="1:18" x14ac:dyDescent="0.25">
      <c r="A31" s="1">
        <v>60000027</v>
      </c>
      <c r="B31" s="3">
        <v>47</v>
      </c>
      <c r="C31" s="3">
        <v>2</v>
      </c>
      <c r="D31" s="3">
        <v>2</v>
      </c>
      <c r="E31" s="3">
        <v>7</v>
      </c>
      <c r="F31">
        <v>1</v>
      </c>
      <c r="G31" s="3">
        <v>29</v>
      </c>
      <c r="H31" s="3">
        <v>4</v>
      </c>
      <c r="I31" s="3">
        <v>13</v>
      </c>
      <c r="J31" s="3">
        <v>4</v>
      </c>
      <c r="K31" s="3">
        <v>6</v>
      </c>
      <c r="L31" s="3">
        <v>1</v>
      </c>
      <c r="M31" s="3">
        <v>2</v>
      </c>
      <c r="N31" s="3">
        <v>2</v>
      </c>
      <c r="O31" s="3">
        <v>2</v>
      </c>
      <c r="P31" s="3">
        <v>1</v>
      </c>
      <c r="Q31" s="3">
        <v>7</v>
      </c>
      <c r="R31" s="3">
        <v>48724</v>
      </c>
    </row>
    <row r="32" spans="1:18" x14ac:dyDescent="0.25">
      <c r="A32" s="1">
        <v>60000028</v>
      </c>
      <c r="B32" s="3">
        <v>57</v>
      </c>
      <c r="C32" s="3">
        <v>2</v>
      </c>
      <c r="D32" s="3">
        <v>2</v>
      </c>
      <c r="E32" s="3">
        <v>1</v>
      </c>
      <c r="F32">
        <v>1</v>
      </c>
      <c r="G32" s="3">
        <v>10</v>
      </c>
      <c r="H32" s="3">
        <v>1</v>
      </c>
      <c r="I32" s="3">
        <v>17</v>
      </c>
      <c r="J32" s="3">
        <v>13</v>
      </c>
      <c r="K32" s="3">
        <v>13</v>
      </c>
      <c r="L32" s="3">
        <v>1</v>
      </c>
      <c r="M32" s="3">
        <v>2</v>
      </c>
      <c r="N32" s="3">
        <v>2</v>
      </c>
      <c r="O32" s="3">
        <v>2</v>
      </c>
      <c r="P32" s="3">
        <v>1</v>
      </c>
      <c r="Q32" s="3">
        <v>6</v>
      </c>
      <c r="R32" s="3">
        <v>80630</v>
      </c>
    </row>
    <row r="33" spans="1:18" x14ac:dyDescent="0.25">
      <c r="A33" s="1">
        <v>60000029</v>
      </c>
      <c r="B33" s="3">
        <v>28</v>
      </c>
      <c r="C33" s="3">
        <v>1</v>
      </c>
      <c r="D33" s="3">
        <v>1</v>
      </c>
      <c r="E33" s="3">
        <v>12</v>
      </c>
      <c r="F33" s="3">
        <v>1</v>
      </c>
      <c r="G33" s="3">
        <v>37</v>
      </c>
      <c r="H33" s="3">
        <v>5</v>
      </c>
      <c r="I33" s="3">
        <v>5</v>
      </c>
      <c r="J33" s="3">
        <v>13</v>
      </c>
      <c r="K33" s="3">
        <v>14</v>
      </c>
      <c r="L33" s="3">
        <v>1</v>
      </c>
      <c r="M33" s="3">
        <v>2</v>
      </c>
      <c r="N33" s="3">
        <v>2</v>
      </c>
      <c r="O33" s="3">
        <v>2</v>
      </c>
      <c r="P33" s="3">
        <v>1</v>
      </c>
      <c r="Q33" s="3">
        <v>4</v>
      </c>
      <c r="R33" s="3">
        <v>57422</v>
      </c>
    </row>
    <row r="34" spans="1:18" x14ac:dyDescent="0.25">
      <c r="A34" s="1">
        <v>60000030</v>
      </c>
      <c r="B34" s="3">
        <v>55</v>
      </c>
      <c r="C34" s="3">
        <v>1</v>
      </c>
      <c r="D34" s="3">
        <v>2</v>
      </c>
      <c r="E34" s="3">
        <v>9</v>
      </c>
      <c r="F34">
        <v>1</v>
      </c>
      <c r="G34" s="3">
        <v>18</v>
      </c>
      <c r="H34" s="3">
        <v>2</v>
      </c>
      <c r="I34" s="3">
        <v>14</v>
      </c>
      <c r="J34" s="3">
        <v>9</v>
      </c>
      <c r="K34" s="3">
        <v>24</v>
      </c>
      <c r="L34" s="3">
        <v>1</v>
      </c>
      <c r="M34" s="3">
        <v>2</v>
      </c>
      <c r="N34" s="3">
        <v>2</v>
      </c>
      <c r="O34" s="3">
        <v>2</v>
      </c>
      <c r="P34" s="3">
        <v>1</v>
      </c>
      <c r="Q34" s="3">
        <v>5</v>
      </c>
      <c r="R34" s="3">
        <v>82448</v>
      </c>
    </row>
    <row r="35" spans="1:18" x14ac:dyDescent="0.25">
      <c r="A35" s="1">
        <v>60000031</v>
      </c>
      <c r="B35" s="3">
        <v>26</v>
      </c>
      <c r="C35" s="3">
        <v>1</v>
      </c>
      <c r="D35" s="3">
        <v>1</v>
      </c>
      <c r="E35" s="3">
        <v>2</v>
      </c>
      <c r="F35">
        <v>1</v>
      </c>
      <c r="G35" s="3">
        <v>34</v>
      </c>
      <c r="H35" s="3">
        <v>5</v>
      </c>
      <c r="I35" s="3">
        <v>2</v>
      </c>
      <c r="J35" s="3">
        <v>1</v>
      </c>
      <c r="K35" s="3">
        <v>16</v>
      </c>
      <c r="L35" s="3">
        <v>1</v>
      </c>
      <c r="M35" s="3">
        <v>2</v>
      </c>
      <c r="N35" s="3">
        <v>2</v>
      </c>
      <c r="O35" s="3">
        <v>2</v>
      </c>
      <c r="P35" s="3">
        <v>2</v>
      </c>
      <c r="Q35" s="3">
        <v>0</v>
      </c>
      <c r="R35" s="3">
        <v>48511</v>
      </c>
    </row>
    <row r="36" spans="1:18" x14ac:dyDescent="0.25">
      <c r="A36" s="1">
        <v>60000032</v>
      </c>
      <c r="B36" s="3">
        <v>47</v>
      </c>
      <c r="C36" s="3">
        <v>2</v>
      </c>
      <c r="D36" s="3">
        <v>1</v>
      </c>
      <c r="E36" s="3">
        <v>1</v>
      </c>
      <c r="F36">
        <v>1</v>
      </c>
      <c r="G36" s="3">
        <v>22</v>
      </c>
      <c r="H36" s="3">
        <v>3</v>
      </c>
      <c r="I36" s="3">
        <v>14</v>
      </c>
      <c r="J36" s="3">
        <v>4</v>
      </c>
      <c r="K36" s="3">
        <v>5</v>
      </c>
      <c r="L36" s="3">
        <v>1</v>
      </c>
      <c r="M36" s="3">
        <v>2</v>
      </c>
      <c r="N36" s="3">
        <v>2</v>
      </c>
      <c r="O36" s="3">
        <v>2</v>
      </c>
      <c r="P36" s="3">
        <v>2</v>
      </c>
      <c r="Q36" s="3">
        <v>0</v>
      </c>
      <c r="R36" s="3">
        <v>60906</v>
      </c>
    </row>
    <row r="37" spans="1:18" x14ac:dyDescent="0.25">
      <c r="A37" s="1">
        <v>60000033</v>
      </c>
      <c r="B37" s="3">
        <v>48</v>
      </c>
      <c r="C37" s="3">
        <v>2</v>
      </c>
      <c r="D37" s="3">
        <v>1</v>
      </c>
      <c r="E37" s="3">
        <v>10</v>
      </c>
      <c r="F37" s="3">
        <v>1</v>
      </c>
      <c r="G37" s="3">
        <v>31</v>
      </c>
      <c r="H37" s="3">
        <v>4</v>
      </c>
      <c r="I37" s="3">
        <v>15</v>
      </c>
      <c r="J37" s="3">
        <v>3</v>
      </c>
      <c r="K37" s="3">
        <v>6</v>
      </c>
      <c r="L37" s="3">
        <v>1</v>
      </c>
      <c r="M37" s="3">
        <v>2</v>
      </c>
      <c r="N37" s="3">
        <v>2</v>
      </c>
      <c r="O37" s="3">
        <v>2</v>
      </c>
      <c r="P37" s="3">
        <v>1</v>
      </c>
      <c r="Q37" s="3">
        <v>0</v>
      </c>
      <c r="R37" s="3">
        <v>60696</v>
      </c>
    </row>
    <row r="38" spans="1:18" x14ac:dyDescent="0.25">
      <c r="A38" s="1">
        <v>60000034</v>
      </c>
      <c r="B38" s="3">
        <v>39</v>
      </c>
      <c r="C38" s="3">
        <v>2</v>
      </c>
      <c r="D38" s="3">
        <v>2</v>
      </c>
      <c r="E38" s="3">
        <v>11</v>
      </c>
      <c r="F38">
        <v>1</v>
      </c>
      <c r="G38" s="3">
        <v>20</v>
      </c>
      <c r="H38" s="3">
        <v>3</v>
      </c>
      <c r="I38" s="3">
        <v>8</v>
      </c>
      <c r="J38" s="3">
        <v>1</v>
      </c>
      <c r="K38" s="3">
        <v>16</v>
      </c>
      <c r="L38" s="3">
        <v>1</v>
      </c>
      <c r="M38" s="3">
        <v>2</v>
      </c>
      <c r="N38" s="3">
        <v>2</v>
      </c>
      <c r="O38" s="3">
        <v>2</v>
      </c>
      <c r="P38" s="3">
        <v>2</v>
      </c>
      <c r="Q38" s="3">
        <v>0</v>
      </c>
      <c r="R38" s="3">
        <v>68931</v>
      </c>
    </row>
    <row r="39" spans="1:18" x14ac:dyDescent="0.25">
      <c r="A39" s="1">
        <v>60000035</v>
      </c>
      <c r="B39" s="3">
        <v>27</v>
      </c>
      <c r="C39" s="3">
        <v>2</v>
      </c>
      <c r="D39" s="3">
        <v>1</v>
      </c>
      <c r="E39" s="3">
        <v>11</v>
      </c>
      <c r="F39">
        <v>1</v>
      </c>
      <c r="G39" s="3">
        <v>25</v>
      </c>
      <c r="H39" s="3">
        <v>4</v>
      </c>
      <c r="I39" s="3">
        <v>5</v>
      </c>
      <c r="J39" s="3">
        <v>13</v>
      </c>
      <c r="K39" s="3">
        <v>9</v>
      </c>
      <c r="L39" s="3">
        <v>1</v>
      </c>
      <c r="M39" s="3">
        <v>2</v>
      </c>
      <c r="N39" s="3">
        <v>2</v>
      </c>
      <c r="O39" s="3">
        <v>2</v>
      </c>
      <c r="P39" s="3">
        <v>2</v>
      </c>
      <c r="Q39" s="3">
        <v>0</v>
      </c>
      <c r="R39" s="3">
        <v>72486</v>
      </c>
    </row>
    <row r="40" spans="1:18" x14ac:dyDescent="0.25">
      <c r="A40" s="1">
        <v>60000036</v>
      </c>
      <c r="B40" s="3">
        <v>50</v>
      </c>
      <c r="C40" s="3">
        <v>1</v>
      </c>
      <c r="D40" s="3">
        <v>2</v>
      </c>
      <c r="E40" s="3">
        <v>10</v>
      </c>
      <c r="F40">
        <v>1</v>
      </c>
      <c r="G40" s="3">
        <v>34</v>
      </c>
      <c r="H40" s="3">
        <v>5</v>
      </c>
      <c r="I40" s="3">
        <v>6</v>
      </c>
      <c r="J40" s="3">
        <v>8</v>
      </c>
      <c r="K40" s="3">
        <v>13</v>
      </c>
      <c r="L40" s="3">
        <v>1</v>
      </c>
      <c r="M40" s="3">
        <v>2</v>
      </c>
      <c r="N40" s="3">
        <v>2</v>
      </c>
      <c r="O40" s="3">
        <v>2</v>
      </c>
      <c r="P40" s="3">
        <v>1</v>
      </c>
      <c r="Q40" s="3">
        <v>0</v>
      </c>
      <c r="R40" s="3">
        <v>25064</v>
      </c>
    </row>
    <row r="41" spans="1:18" x14ac:dyDescent="0.25">
      <c r="A41" s="1">
        <v>60000037</v>
      </c>
      <c r="B41" s="3">
        <v>43</v>
      </c>
      <c r="C41" s="3">
        <v>1</v>
      </c>
      <c r="D41" s="3">
        <v>2</v>
      </c>
      <c r="E41" s="3">
        <v>2</v>
      </c>
      <c r="F41" s="3">
        <v>1</v>
      </c>
      <c r="G41" s="3">
        <v>27</v>
      </c>
      <c r="H41" s="3">
        <v>4</v>
      </c>
      <c r="I41" s="3">
        <v>3</v>
      </c>
      <c r="J41" s="3">
        <v>9</v>
      </c>
      <c r="K41" s="3">
        <v>49</v>
      </c>
      <c r="L41" s="3">
        <v>1</v>
      </c>
      <c r="M41" s="3">
        <v>2</v>
      </c>
      <c r="N41" s="3">
        <v>2</v>
      </c>
      <c r="O41" s="3">
        <v>2</v>
      </c>
      <c r="P41" s="3">
        <v>2</v>
      </c>
      <c r="Q41" s="3">
        <v>0</v>
      </c>
      <c r="R41" s="3">
        <v>66485</v>
      </c>
    </row>
    <row r="42" spans="1:18" x14ac:dyDescent="0.25">
      <c r="A42" s="1">
        <v>60000038</v>
      </c>
      <c r="B42" s="3">
        <v>26</v>
      </c>
      <c r="C42" s="3">
        <v>2</v>
      </c>
      <c r="D42" s="3">
        <v>2</v>
      </c>
      <c r="E42" s="3">
        <v>7</v>
      </c>
      <c r="F42">
        <v>1</v>
      </c>
      <c r="G42" s="3">
        <v>17</v>
      </c>
      <c r="H42" s="3">
        <v>2</v>
      </c>
      <c r="I42" s="3">
        <v>1</v>
      </c>
      <c r="J42" s="3">
        <v>4</v>
      </c>
      <c r="K42" s="3">
        <v>15</v>
      </c>
      <c r="L42" s="3">
        <v>1</v>
      </c>
      <c r="M42" s="3">
        <v>2</v>
      </c>
      <c r="N42" s="3">
        <v>2</v>
      </c>
      <c r="O42" s="3">
        <v>2</v>
      </c>
      <c r="P42" s="3">
        <v>2</v>
      </c>
      <c r="Q42" s="3">
        <v>0</v>
      </c>
      <c r="R42" s="3">
        <v>32920</v>
      </c>
    </row>
    <row r="43" spans="1:18" x14ac:dyDescent="0.25">
      <c r="A43" s="1">
        <v>60000039</v>
      </c>
      <c r="B43" s="3">
        <v>23</v>
      </c>
      <c r="C43" s="3">
        <v>1</v>
      </c>
      <c r="D43" s="3">
        <v>1</v>
      </c>
      <c r="E43" s="3">
        <v>3</v>
      </c>
      <c r="F43">
        <v>1</v>
      </c>
      <c r="G43" s="3">
        <v>10</v>
      </c>
      <c r="H43" s="3">
        <v>1</v>
      </c>
      <c r="I43" s="3">
        <v>9</v>
      </c>
      <c r="J43" s="3">
        <v>3</v>
      </c>
      <c r="K43" s="3">
        <v>7</v>
      </c>
      <c r="L43" s="3">
        <v>1</v>
      </c>
      <c r="M43" s="3">
        <v>2</v>
      </c>
      <c r="N43" s="3">
        <v>2</v>
      </c>
      <c r="O43" s="3">
        <v>2</v>
      </c>
      <c r="P43" s="3">
        <v>2</v>
      </c>
      <c r="Q43" s="3">
        <v>0</v>
      </c>
      <c r="R43" s="3">
        <v>60181</v>
      </c>
    </row>
    <row r="44" spans="1:18" x14ac:dyDescent="0.25">
      <c r="A44" s="1">
        <v>60000040</v>
      </c>
      <c r="B44" s="3">
        <v>47</v>
      </c>
      <c r="C44" s="3">
        <v>2</v>
      </c>
      <c r="D44" s="3">
        <v>1</v>
      </c>
      <c r="E44" s="3">
        <v>4</v>
      </c>
      <c r="F44">
        <v>1</v>
      </c>
      <c r="G44" s="3">
        <v>28</v>
      </c>
      <c r="H44" s="3">
        <v>4</v>
      </c>
      <c r="I44" s="3">
        <v>15</v>
      </c>
      <c r="J44" s="3">
        <v>8</v>
      </c>
      <c r="K44" s="3">
        <v>13</v>
      </c>
      <c r="L44" s="3">
        <v>1</v>
      </c>
      <c r="M44" s="3">
        <v>2</v>
      </c>
      <c r="N44" s="3">
        <v>2</v>
      </c>
      <c r="O44" s="3">
        <v>2</v>
      </c>
      <c r="P44" s="3">
        <v>1</v>
      </c>
      <c r="Q44" s="3">
        <v>7</v>
      </c>
      <c r="R44" s="3">
        <v>64200</v>
      </c>
    </row>
    <row r="45" spans="1:18" x14ac:dyDescent="0.25">
      <c r="A45" s="1">
        <v>60000041</v>
      </c>
      <c r="B45" s="3">
        <v>54</v>
      </c>
      <c r="C45" s="3">
        <v>2</v>
      </c>
      <c r="D45" s="3">
        <v>1</v>
      </c>
      <c r="E45" s="3">
        <v>8</v>
      </c>
      <c r="F45" s="3">
        <v>1</v>
      </c>
      <c r="G45" s="3">
        <v>32</v>
      </c>
      <c r="H45" s="3">
        <v>5</v>
      </c>
      <c r="I45" s="3">
        <v>16</v>
      </c>
      <c r="J45" s="3">
        <v>12</v>
      </c>
      <c r="K45" s="3">
        <v>15</v>
      </c>
      <c r="L45" s="3">
        <v>1</v>
      </c>
      <c r="M45" s="3">
        <v>2</v>
      </c>
      <c r="N45" s="3">
        <v>2</v>
      </c>
      <c r="O45" s="3">
        <v>2</v>
      </c>
      <c r="P45" s="3">
        <v>2</v>
      </c>
      <c r="Q45" s="3">
        <v>0</v>
      </c>
      <c r="R45" s="3">
        <v>27376</v>
      </c>
    </row>
    <row r="46" spans="1:18" x14ac:dyDescent="0.25">
      <c r="A46" s="1">
        <v>60000042</v>
      </c>
      <c r="B46" s="3">
        <v>47</v>
      </c>
      <c r="C46" s="3">
        <v>1</v>
      </c>
      <c r="D46" s="3">
        <v>2</v>
      </c>
      <c r="E46" s="3">
        <v>8</v>
      </c>
      <c r="F46">
        <v>1</v>
      </c>
      <c r="G46" s="3">
        <v>36</v>
      </c>
      <c r="H46" s="3">
        <v>5</v>
      </c>
      <c r="I46" s="3">
        <v>5</v>
      </c>
      <c r="J46" s="3">
        <v>1</v>
      </c>
      <c r="K46" s="3">
        <v>6</v>
      </c>
      <c r="L46" s="3">
        <v>1</v>
      </c>
      <c r="M46" s="3">
        <v>2</v>
      </c>
      <c r="N46" s="3">
        <v>2</v>
      </c>
      <c r="O46" s="3">
        <v>2</v>
      </c>
      <c r="P46" s="3">
        <v>1</v>
      </c>
      <c r="Q46" s="3">
        <v>6</v>
      </c>
      <c r="R46" s="3">
        <v>73100</v>
      </c>
    </row>
    <row r="47" spans="1:18" x14ac:dyDescent="0.25">
      <c r="A47" s="1">
        <v>60000043</v>
      </c>
      <c r="B47" s="3">
        <v>37</v>
      </c>
      <c r="C47" s="3">
        <v>2</v>
      </c>
      <c r="D47" s="3">
        <v>2</v>
      </c>
      <c r="E47" s="3">
        <v>10</v>
      </c>
      <c r="F47">
        <v>1</v>
      </c>
      <c r="G47" s="3">
        <v>33</v>
      </c>
      <c r="H47" s="3">
        <v>5</v>
      </c>
      <c r="I47" s="3">
        <v>14</v>
      </c>
      <c r="J47" s="3">
        <v>3</v>
      </c>
      <c r="K47" s="3">
        <v>49</v>
      </c>
      <c r="L47" s="3">
        <v>1</v>
      </c>
      <c r="M47" s="3">
        <v>2</v>
      </c>
      <c r="N47" s="3">
        <v>2</v>
      </c>
      <c r="O47" s="3">
        <v>2</v>
      </c>
      <c r="P47" s="3">
        <v>2</v>
      </c>
      <c r="Q47" s="3">
        <v>0</v>
      </c>
      <c r="R47" s="3">
        <v>51512</v>
      </c>
    </row>
    <row r="48" spans="1:18" x14ac:dyDescent="0.25">
      <c r="A48" s="1">
        <v>60000044</v>
      </c>
      <c r="B48" s="3">
        <v>65</v>
      </c>
      <c r="C48" s="3">
        <v>2</v>
      </c>
      <c r="D48" s="3">
        <v>2</v>
      </c>
      <c r="E48" s="3">
        <v>1</v>
      </c>
      <c r="F48">
        <v>1</v>
      </c>
      <c r="G48" s="3">
        <v>24</v>
      </c>
      <c r="H48" s="3">
        <v>3</v>
      </c>
      <c r="I48" s="3">
        <v>10</v>
      </c>
      <c r="J48" s="3">
        <v>6</v>
      </c>
      <c r="K48" s="3">
        <v>39</v>
      </c>
      <c r="L48" s="3">
        <v>1</v>
      </c>
      <c r="M48" s="3">
        <v>2</v>
      </c>
      <c r="N48" s="3">
        <v>2</v>
      </c>
      <c r="O48" s="3">
        <v>2</v>
      </c>
      <c r="P48" s="3">
        <v>1</v>
      </c>
      <c r="Q48" s="3">
        <v>4</v>
      </c>
      <c r="R48" s="3">
        <v>32853</v>
      </c>
    </row>
    <row r="49" spans="1:18" x14ac:dyDescent="0.25">
      <c r="A49" s="1">
        <v>60000045</v>
      </c>
      <c r="B49" s="3">
        <v>42</v>
      </c>
      <c r="C49" s="3">
        <v>2</v>
      </c>
      <c r="D49" s="3">
        <v>1</v>
      </c>
      <c r="E49" s="3">
        <v>9</v>
      </c>
      <c r="F49" s="3">
        <v>1</v>
      </c>
      <c r="G49" s="3">
        <v>34</v>
      </c>
      <c r="H49" s="3">
        <v>5</v>
      </c>
      <c r="I49" s="3">
        <v>2</v>
      </c>
      <c r="J49" s="3">
        <v>8</v>
      </c>
      <c r="K49" s="3">
        <v>23</v>
      </c>
      <c r="L49" s="3">
        <v>1</v>
      </c>
      <c r="M49" s="3">
        <v>2</v>
      </c>
      <c r="N49" s="3">
        <v>2</v>
      </c>
      <c r="O49" s="3">
        <v>2</v>
      </c>
      <c r="P49" s="3">
        <v>2</v>
      </c>
      <c r="Q49" s="3">
        <v>0</v>
      </c>
      <c r="R49" s="3">
        <v>33519</v>
      </c>
    </row>
    <row r="50" spans="1:18" x14ac:dyDescent="0.25">
      <c r="A50" s="1">
        <v>60000046</v>
      </c>
      <c r="B50" s="3">
        <v>29</v>
      </c>
      <c r="C50" s="3">
        <v>2</v>
      </c>
      <c r="D50" s="3">
        <v>2</v>
      </c>
      <c r="E50" s="3">
        <v>7</v>
      </c>
      <c r="F50">
        <v>1</v>
      </c>
      <c r="G50" s="3">
        <v>23</v>
      </c>
      <c r="H50" s="3">
        <v>3</v>
      </c>
      <c r="I50" s="3">
        <v>17</v>
      </c>
      <c r="J50" s="3">
        <v>1</v>
      </c>
      <c r="K50" s="3">
        <v>18</v>
      </c>
      <c r="L50" s="3">
        <v>1</v>
      </c>
      <c r="M50" s="3">
        <v>2</v>
      </c>
      <c r="N50" s="3">
        <v>2</v>
      </c>
      <c r="O50" s="3">
        <v>2</v>
      </c>
      <c r="P50" s="3">
        <v>2</v>
      </c>
      <c r="Q50" s="3">
        <v>0</v>
      </c>
      <c r="R50" s="3">
        <v>47392</v>
      </c>
    </row>
    <row r="51" spans="1:18" x14ac:dyDescent="0.25">
      <c r="A51" s="1">
        <v>60000047</v>
      </c>
      <c r="B51" s="3">
        <v>21</v>
      </c>
      <c r="C51" s="3">
        <v>1</v>
      </c>
      <c r="D51" s="3">
        <v>1</v>
      </c>
      <c r="E51" s="3">
        <v>10</v>
      </c>
      <c r="F51">
        <v>1</v>
      </c>
      <c r="G51" s="3">
        <v>16</v>
      </c>
      <c r="H51" s="3">
        <v>2</v>
      </c>
      <c r="I51" s="3">
        <v>6</v>
      </c>
      <c r="J51" s="3">
        <v>6</v>
      </c>
      <c r="K51" s="3">
        <v>1</v>
      </c>
      <c r="L51" s="3">
        <v>1</v>
      </c>
      <c r="M51" s="3">
        <v>2</v>
      </c>
      <c r="N51" s="3">
        <v>2</v>
      </c>
      <c r="O51" s="3">
        <v>2</v>
      </c>
      <c r="P51" s="3">
        <v>1</v>
      </c>
      <c r="Q51" s="3">
        <v>7</v>
      </c>
      <c r="R51" s="3">
        <v>81471</v>
      </c>
    </row>
    <row r="52" spans="1:18" x14ac:dyDescent="0.25">
      <c r="A52" s="1">
        <v>60000048</v>
      </c>
      <c r="B52" s="3">
        <v>65</v>
      </c>
      <c r="C52" s="3">
        <v>1</v>
      </c>
      <c r="D52" s="3">
        <v>1</v>
      </c>
      <c r="E52" s="3">
        <v>9</v>
      </c>
      <c r="F52">
        <v>1</v>
      </c>
      <c r="G52" s="3">
        <v>36</v>
      </c>
      <c r="H52" s="3">
        <v>5</v>
      </c>
      <c r="I52" s="3">
        <v>13</v>
      </c>
      <c r="J52" s="3">
        <v>9</v>
      </c>
      <c r="K52" s="3">
        <v>23</v>
      </c>
      <c r="L52" s="3">
        <v>1</v>
      </c>
      <c r="M52" s="3">
        <v>2</v>
      </c>
      <c r="N52" s="3">
        <v>2</v>
      </c>
      <c r="O52" s="3">
        <v>2</v>
      </c>
      <c r="P52" s="3">
        <v>1</v>
      </c>
      <c r="Q52" s="3">
        <v>4</v>
      </c>
      <c r="R52" s="3">
        <v>46613</v>
      </c>
    </row>
    <row r="53" spans="1:18" x14ac:dyDescent="0.25">
      <c r="A53" s="1">
        <v>60000049</v>
      </c>
      <c r="B53" s="3">
        <v>47</v>
      </c>
      <c r="C53" s="3">
        <v>2</v>
      </c>
      <c r="D53" s="3">
        <v>2</v>
      </c>
      <c r="E53" s="3">
        <v>12</v>
      </c>
      <c r="F53" s="3">
        <v>1</v>
      </c>
      <c r="G53" s="3">
        <v>12</v>
      </c>
      <c r="H53" s="3">
        <v>2</v>
      </c>
      <c r="I53" s="3">
        <v>8</v>
      </c>
      <c r="J53" s="3">
        <v>12</v>
      </c>
      <c r="K53" s="3">
        <v>27</v>
      </c>
      <c r="L53" s="3">
        <v>1</v>
      </c>
      <c r="M53" s="3">
        <v>2</v>
      </c>
      <c r="N53" s="3">
        <v>2</v>
      </c>
      <c r="O53" s="3">
        <v>2</v>
      </c>
      <c r="P53" s="3">
        <v>1</v>
      </c>
      <c r="Q53" s="3">
        <v>0</v>
      </c>
      <c r="R53" s="3">
        <v>75842</v>
      </c>
    </row>
    <row r="54" spans="1:18" x14ac:dyDescent="0.25">
      <c r="A54" s="1">
        <v>60000050</v>
      </c>
      <c r="B54" s="3">
        <v>47</v>
      </c>
      <c r="C54" s="3">
        <v>1</v>
      </c>
      <c r="D54" s="3">
        <v>2</v>
      </c>
      <c r="E54" s="3">
        <v>12</v>
      </c>
      <c r="F54">
        <v>1</v>
      </c>
      <c r="G54" s="3">
        <v>18</v>
      </c>
      <c r="H54" s="3">
        <v>2</v>
      </c>
      <c r="I54" s="3">
        <v>13</v>
      </c>
      <c r="J54" s="3">
        <v>11</v>
      </c>
      <c r="K54" s="3">
        <v>8</v>
      </c>
      <c r="L54" s="3">
        <v>1</v>
      </c>
      <c r="M54" s="3">
        <v>2</v>
      </c>
      <c r="N54" s="3">
        <v>2</v>
      </c>
      <c r="O54" s="3">
        <v>2</v>
      </c>
      <c r="P54" s="3">
        <v>2</v>
      </c>
      <c r="Q54" s="3">
        <v>0</v>
      </c>
      <c r="R54" s="3">
        <v>77615</v>
      </c>
    </row>
    <row r="55" spans="1:18" x14ac:dyDescent="0.25">
      <c r="A55" s="1">
        <v>60000051</v>
      </c>
      <c r="B55" s="3">
        <v>48</v>
      </c>
      <c r="C55" s="3">
        <v>2</v>
      </c>
      <c r="D55" s="3">
        <v>1</v>
      </c>
      <c r="E55" s="3">
        <v>7</v>
      </c>
      <c r="F55">
        <v>1</v>
      </c>
      <c r="G55" s="3">
        <v>31</v>
      </c>
      <c r="H55" s="3">
        <v>4</v>
      </c>
      <c r="I55" s="3">
        <v>15</v>
      </c>
      <c r="J55" s="3">
        <v>7</v>
      </c>
      <c r="K55" s="3">
        <v>32</v>
      </c>
      <c r="L55" s="3">
        <v>1</v>
      </c>
      <c r="M55" s="3">
        <v>2</v>
      </c>
      <c r="N55" s="3">
        <v>2</v>
      </c>
      <c r="O55" s="3">
        <v>2</v>
      </c>
      <c r="P55" s="3">
        <v>2</v>
      </c>
      <c r="Q55" s="3">
        <v>0</v>
      </c>
      <c r="R55" s="3">
        <v>46121</v>
      </c>
    </row>
    <row r="56" spans="1:18" x14ac:dyDescent="0.25">
      <c r="A56" s="1">
        <v>60000052</v>
      </c>
      <c r="B56" s="3">
        <v>24</v>
      </c>
      <c r="C56" s="3">
        <v>1</v>
      </c>
      <c r="D56" s="3">
        <v>1</v>
      </c>
      <c r="E56" s="3">
        <v>2</v>
      </c>
      <c r="F56">
        <v>1</v>
      </c>
      <c r="G56" s="3">
        <v>25</v>
      </c>
      <c r="H56" s="3">
        <v>4</v>
      </c>
      <c r="I56" s="3">
        <v>15</v>
      </c>
      <c r="J56" s="3">
        <v>13</v>
      </c>
      <c r="K56" s="3">
        <v>17</v>
      </c>
      <c r="L56" s="3">
        <v>1</v>
      </c>
      <c r="M56" s="3">
        <v>2</v>
      </c>
      <c r="N56" s="3">
        <v>2</v>
      </c>
      <c r="O56" s="3">
        <v>2</v>
      </c>
      <c r="P56" s="3">
        <v>1</v>
      </c>
      <c r="Q56" s="3">
        <v>6</v>
      </c>
      <c r="R56" s="3">
        <v>39270</v>
      </c>
    </row>
    <row r="57" spans="1:18" x14ac:dyDescent="0.25">
      <c r="A57" s="1">
        <v>60000053</v>
      </c>
      <c r="B57" s="3">
        <v>61</v>
      </c>
      <c r="C57" s="3">
        <v>1</v>
      </c>
      <c r="D57" s="3">
        <v>1</v>
      </c>
      <c r="E57" s="3">
        <v>3</v>
      </c>
      <c r="F57" s="3">
        <v>1</v>
      </c>
      <c r="G57" s="3">
        <v>10</v>
      </c>
      <c r="H57" s="3">
        <v>1</v>
      </c>
      <c r="I57" s="3">
        <v>13</v>
      </c>
      <c r="J57" s="3">
        <v>10</v>
      </c>
      <c r="K57" s="3">
        <v>36</v>
      </c>
      <c r="L57" s="3">
        <v>1</v>
      </c>
      <c r="M57" s="3">
        <v>2</v>
      </c>
      <c r="N57" s="3">
        <v>2</v>
      </c>
      <c r="O57" s="3">
        <v>2</v>
      </c>
      <c r="P57" s="3">
        <v>1</v>
      </c>
      <c r="Q57" s="3">
        <v>5</v>
      </c>
      <c r="R57" s="3">
        <v>77754</v>
      </c>
    </row>
    <row r="58" spans="1:18" x14ac:dyDescent="0.25">
      <c r="A58" s="1">
        <v>60000054</v>
      </c>
      <c r="B58" s="3">
        <v>45</v>
      </c>
      <c r="C58" s="3">
        <v>1</v>
      </c>
      <c r="D58" s="3">
        <v>1</v>
      </c>
      <c r="E58" s="3">
        <v>8</v>
      </c>
      <c r="F58">
        <v>1</v>
      </c>
      <c r="G58" s="3">
        <v>15</v>
      </c>
      <c r="H58" s="3">
        <v>2</v>
      </c>
      <c r="I58" s="3">
        <v>15</v>
      </c>
      <c r="J58" s="3">
        <v>5</v>
      </c>
      <c r="K58" s="3">
        <v>32</v>
      </c>
      <c r="L58" s="3">
        <v>1</v>
      </c>
      <c r="M58" s="3">
        <v>2</v>
      </c>
      <c r="N58" s="3">
        <v>2</v>
      </c>
      <c r="O58" s="3">
        <v>2</v>
      </c>
      <c r="P58" s="3">
        <v>1</v>
      </c>
      <c r="Q58" s="3">
        <v>3</v>
      </c>
      <c r="R58" s="3">
        <v>55314</v>
      </c>
    </row>
    <row r="59" spans="1:18" x14ac:dyDescent="0.25">
      <c r="A59" s="1">
        <v>60000055</v>
      </c>
      <c r="B59" s="3">
        <v>60</v>
      </c>
      <c r="C59" s="3">
        <v>1</v>
      </c>
      <c r="D59" s="3">
        <v>2</v>
      </c>
      <c r="E59" s="3">
        <v>8</v>
      </c>
      <c r="F59">
        <v>1</v>
      </c>
      <c r="G59" s="3">
        <v>28</v>
      </c>
      <c r="H59" s="3">
        <v>4</v>
      </c>
      <c r="I59" s="3">
        <v>3</v>
      </c>
      <c r="J59" s="3">
        <v>4</v>
      </c>
      <c r="K59" s="3">
        <v>28</v>
      </c>
      <c r="L59" s="3">
        <v>1</v>
      </c>
      <c r="M59" s="3">
        <v>2</v>
      </c>
      <c r="N59" s="3">
        <v>2</v>
      </c>
      <c r="O59" s="3">
        <v>2</v>
      </c>
      <c r="P59" s="3">
        <v>1</v>
      </c>
      <c r="Q59" s="3">
        <v>5</v>
      </c>
      <c r="R59" s="3">
        <v>44686</v>
      </c>
    </row>
    <row r="60" spans="1:18" x14ac:dyDescent="0.25">
      <c r="A60" s="1">
        <v>60000056</v>
      </c>
      <c r="B60" s="3">
        <v>27</v>
      </c>
      <c r="C60" s="3">
        <v>2</v>
      </c>
      <c r="D60" s="3">
        <v>1</v>
      </c>
      <c r="E60" s="3">
        <v>9</v>
      </c>
      <c r="F60">
        <v>1</v>
      </c>
      <c r="G60" s="3">
        <v>16</v>
      </c>
      <c r="H60" s="3">
        <v>2</v>
      </c>
      <c r="I60" s="3">
        <v>15</v>
      </c>
      <c r="J60" s="3">
        <v>6</v>
      </c>
      <c r="K60" s="3">
        <v>13</v>
      </c>
      <c r="L60" s="3">
        <v>1</v>
      </c>
      <c r="M60" s="3">
        <v>2</v>
      </c>
      <c r="N60" s="3">
        <v>2</v>
      </c>
      <c r="O60" s="3">
        <v>2</v>
      </c>
      <c r="P60" s="3">
        <v>2</v>
      </c>
      <c r="Q60" s="3">
        <v>0</v>
      </c>
      <c r="R60" s="3">
        <v>79381</v>
      </c>
    </row>
    <row r="61" spans="1:18" x14ac:dyDescent="0.25">
      <c r="A61" s="1">
        <v>60000057</v>
      </c>
      <c r="B61" s="3">
        <v>29</v>
      </c>
      <c r="C61" s="3">
        <v>1</v>
      </c>
      <c r="D61" s="3">
        <v>1</v>
      </c>
      <c r="E61" s="3">
        <v>7</v>
      </c>
      <c r="F61" s="3">
        <v>1</v>
      </c>
      <c r="G61" s="3">
        <v>25</v>
      </c>
      <c r="H61" s="3">
        <v>4</v>
      </c>
      <c r="I61" s="3">
        <v>10</v>
      </c>
      <c r="J61" s="3">
        <v>11</v>
      </c>
      <c r="K61" s="3">
        <v>2</v>
      </c>
      <c r="L61" s="3">
        <v>1</v>
      </c>
      <c r="M61" s="3">
        <v>2</v>
      </c>
      <c r="N61" s="3">
        <v>2</v>
      </c>
      <c r="O61" s="3">
        <v>2</v>
      </c>
      <c r="P61" s="3">
        <v>1</v>
      </c>
      <c r="Q61" s="3">
        <v>4</v>
      </c>
      <c r="R61" s="3">
        <v>55151</v>
      </c>
    </row>
    <row r="62" spans="1:18" x14ac:dyDescent="0.25">
      <c r="A62" s="1">
        <v>60000058</v>
      </c>
      <c r="B62" s="3">
        <v>59</v>
      </c>
      <c r="C62" s="3">
        <v>1</v>
      </c>
      <c r="D62" s="3">
        <v>2</v>
      </c>
      <c r="E62" s="3">
        <v>9</v>
      </c>
      <c r="F62">
        <v>1</v>
      </c>
      <c r="G62" s="3">
        <v>27</v>
      </c>
      <c r="H62" s="3">
        <v>4</v>
      </c>
      <c r="I62" s="3">
        <v>3</v>
      </c>
      <c r="J62" s="3">
        <v>3</v>
      </c>
      <c r="K62" s="3">
        <v>16</v>
      </c>
      <c r="L62" s="3">
        <v>1</v>
      </c>
      <c r="M62" s="3">
        <v>2</v>
      </c>
      <c r="N62" s="3">
        <v>2</v>
      </c>
      <c r="O62" s="3">
        <v>2</v>
      </c>
      <c r="P62" s="3">
        <v>1</v>
      </c>
      <c r="Q62" s="3">
        <v>1</v>
      </c>
      <c r="R62" s="3">
        <v>65029</v>
      </c>
    </row>
    <row r="63" spans="1:18" x14ac:dyDescent="0.25">
      <c r="A63" s="1">
        <v>60000059</v>
      </c>
      <c r="B63" s="3">
        <v>56</v>
      </c>
      <c r="C63" s="3">
        <v>2</v>
      </c>
      <c r="D63" s="3">
        <v>1</v>
      </c>
      <c r="E63" s="3">
        <v>7</v>
      </c>
      <c r="F63">
        <v>1</v>
      </c>
      <c r="G63" s="3">
        <v>20</v>
      </c>
      <c r="H63" s="3">
        <v>3</v>
      </c>
      <c r="I63" s="3">
        <v>16</v>
      </c>
      <c r="J63" s="3">
        <v>2</v>
      </c>
      <c r="K63" s="3">
        <v>36</v>
      </c>
      <c r="L63" s="3">
        <v>1</v>
      </c>
      <c r="M63" s="3">
        <v>2</v>
      </c>
      <c r="N63" s="3">
        <v>2</v>
      </c>
      <c r="O63" s="3">
        <v>2</v>
      </c>
      <c r="P63" s="3">
        <v>1</v>
      </c>
      <c r="Q63" s="3">
        <v>5</v>
      </c>
      <c r="R63" s="3">
        <v>26628</v>
      </c>
    </row>
    <row r="64" spans="1:18" x14ac:dyDescent="0.25">
      <c r="A64" s="1">
        <v>60000060</v>
      </c>
      <c r="B64" s="3">
        <v>42</v>
      </c>
      <c r="C64" s="3">
        <v>1</v>
      </c>
      <c r="D64" s="3">
        <v>1</v>
      </c>
      <c r="E64" s="3">
        <v>3</v>
      </c>
      <c r="F64">
        <v>1</v>
      </c>
      <c r="G64" s="3">
        <v>19</v>
      </c>
      <c r="H64" s="3">
        <v>3</v>
      </c>
      <c r="I64" s="3">
        <v>4</v>
      </c>
      <c r="J64" s="3">
        <v>10</v>
      </c>
      <c r="K64" s="3">
        <v>26</v>
      </c>
      <c r="L64" s="3">
        <v>1</v>
      </c>
      <c r="M64" s="3">
        <v>2</v>
      </c>
      <c r="N64" s="3">
        <v>2</v>
      </c>
      <c r="O64" s="3">
        <v>2</v>
      </c>
      <c r="P64" s="3">
        <v>2</v>
      </c>
      <c r="Q64" s="3">
        <v>0</v>
      </c>
      <c r="R64" s="3">
        <v>49132</v>
      </c>
    </row>
    <row r="65" spans="1:18" x14ac:dyDescent="0.25">
      <c r="A65" s="1">
        <v>60000061</v>
      </c>
      <c r="B65" s="3">
        <v>52</v>
      </c>
      <c r="C65" s="3">
        <v>2</v>
      </c>
      <c r="D65" s="3">
        <v>1</v>
      </c>
      <c r="E65" s="3">
        <v>2</v>
      </c>
      <c r="F65" s="3">
        <v>1</v>
      </c>
      <c r="G65" s="3">
        <v>31</v>
      </c>
      <c r="H65" s="3">
        <v>4</v>
      </c>
      <c r="I65" s="3">
        <v>11</v>
      </c>
      <c r="J65" s="3">
        <v>9</v>
      </c>
      <c r="K65" s="3">
        <v>14</v>
      </c>
      <c r="L65" s="3">
        <v>1</v>
      </c>
      <c r="M65" s="3">
        <v>2</v>
      </c>
      <c r="N65" s="3">
        <v>2</v>
      </c>
      <c r="O65" s="3">
        <v>2</v>
      </c>
      <c r="P65" s="3">
        <v>1</v>
      </c>
      <c r="Q65" s="3">
        <v>2</v>
      </c>
      <c r="R65" s="3">
        <v>75641</v>
      </c>
    </row>
    <row r="66" spans="1:18" x14ac:dyDescent="0.25">
      <c r="A66" s="1">
        <v>60000062</v>
      </c>
      <c r="B66" s="3">
        <v>44</v>
      </c>
      <c r="C66" s="3">
        <v>2</v>
      </c>
      <c r="D66" s="3">
        <v>2</v>
      </c>
      <c r="E66" s="3">
        <v>3</v>
      </c>
      <c r="F66">
        <v>1</v>
      </c>
      <c r="G66" s="3">
        <v>18</v>
      </c>
      <c r="H66" s="3">
        <v>2</v>
      </c>
      <c r="I66" s="3">
        <v>15</v>
      </c>
      <c r="J66" s="3">
        <v>4</v>
      </c>
      <c r="K66" s="3">
        <v>28</v>
      </c>
      <c r="L66" s="3">
        <v>1</v>
      </c>
      <c r="M66" s="3">
        <v>2</v>
      </c>
      <c r="N66" s="3">
        <v>2</v>
      </c>
      <c r="O66" s="3">
        <v>2</v>
      </c>
      <c r="P66" s="3">
        <v>2</v>
      </c>
      <c r="Q66" s="3">
        <v>0</v>
      </c>
      <c r="R66" s="3">
        <v>46107</v>
      </c>
    </row>
    <row r="67" spans="1:18" x14ac:dyDescent="0.25">
      <c r="A67" s="1">
        <v>60000063</v>
      </c>
      <c r="B67" s="3">
        <v>37</v>
      </c>
      <c r="C67" s="3">
        <v>2</v>
      </c>
      <c r="D67" s="3">
        <v>2</v>
      </c>
      <c r="E67" s="3">
        <v>12</v>
      </c>
      <c r="F67">
        <v>1</v>
      </c>
      <c r="G67" s="3">
        <v>29</v>
      </c>
      <c r="H67" s="3">
        <v>4</v>
      </c>
      <c r="I67" s="3">
        <v>4</v>
      </c>
      <c r="J67" s="3">
        <v>1</v>
      </c>
      <c r="K67" s="3">
        <v>5</v>
      </c>
      <c r="L67" s="3">
        <v>1</v>
      </c>
      <c r="M67" s="3">
        <v>2</v>
      </c>
      <c r="N67" s="3">
        <v>2</v>
      </c>
      <c r="O67" s="3">
        <v>2</v>
      </c>
      <c r="P67" s="3">
        <v>1</v>
      </c>
      <c r="Q67" s="3">
        <v>5</v>
      </c>
      <c r="R67" s="3">
        <v>54603</v>
      </c>
    </row>
    <row r="68" spans="1:18" x14ac:dyDescent="0.25">
      <c r="A68" s="1">
        <v>60000064</v>
      </c>
      <c r="B68" s="3">
        <v>20</v>
      </c>
      <c r="C68" s="3">
        <v>2</v>
      </c>
      <c r="D68" s="3">
        <v>2</v>
      </c>
      <c r="E68" s="3">
        <v>9</v>
      </c>
      <c r="F68">
        <v>1</v>
      </c>
      <c r="G68" s="3">
        <v>12</v>
      </c>
      <c r="H68" s="3">
        <v>2</v>
      </c>
      <c r="I68" s="3">
        <v>17</v>
      </c>
      <c r="J68" s="3">
        <v>10</v>
      </c>
      <c r="K68" s="3">
        <v>23</v>
      </c>
      <c r="L68" s="3">
        <v>1</v>
      </c>
      <c r="M68" s="3">
        <v>2</v>
      </c>
      <c r="N68" s="3">
        <v>2</v>
      </c>
      <c r="O68" s="3">
        <v>2</v>
      </c>
      <c r="P68" s="3">
        <v>1</v>
      </c>
      <c r="Q68" s="3">
        <v>2</v>
      </c>
      <c r="R68" s="3">
        <v>76546</v>
      </c>
    </row>
    <row r="69" spans="1:18" x14ac:dyDescent="0.25">
      <c r="A69" s="1">
        <v>60000065</v>
      </c>
      <c r="B69" s="3">
        <v>20</v>
      </c>
      <c r="C69" s="3">
        <v>1</v>
      </c>
      <c r="D69" s="3">
        <v>1</v>
      </c>
      <c r="E69" s="3">
        <v>3</v>
      </c>
      <c r="F69" s="3">
        <v>1</v>
      </c>
      <c r="G69" s="3">
        <v>14</v>
      </c>
      <c r="H69" s="3">
        <v>2</v>
      </c>
      <c r="I69" s="3">
        <v>6</v>
      </c>
      <c r="J69" s="3">
        <v>12</v>
      </c>
      <c r="K69" s="3">
        <v>40</v>
      </c>
      <c r="L69" s="3">
        <v>1</v>
      </c>
      <c r="M69" s="3">
        <v>2</v>
      </c>
      <c r="N69" s="3">
        <v>2</v>
      </c>
      <c r="O69" s="3">
        <v>2</v>
      </c>
      <c r="P69" s="3">
        <v>1</v>
      </c>
      <c r="Q69" s="3">
        <v>4</v>
      </c>
      <c r="R69" s="3">
        <v>51693</v>
      </c>
    </row>
    <row r="70" spans="1:18" x14ac:dyDescent="0.25">
      <c r="A70" s="1">
        <v>60000066</v>
      </c>
      <c r="B70" s="3">
        <v>43</v>
      </c>
      <c r="C70" s="3">
        <v>1</v>
      </c>
      <c r="D70" s="3">
        <v>1</v>
      </c>
      <c r="E70" s="3">
        <v>2</v>
      </c>
      <c r="F70">
        <v>1</v>
      </c>
      <c r="G70" s="3">
        <v>21</v>
      </c>
      <c r="H70" s="3">
        <v>3</v>
      </c>
      <c r="I70" s="3">
        <v>3</v>
      </c>
      <c r="J70" s="3">
        <v>2</v>
      </c>
      <c r="K70" s="3">
        <v>7</v>
      </c>
      <c r="L70" s="3">
        <v>1</v>
      </c>
      <c r="M70" s="3">
        <v>2</v>
      </c>
      <c r="N70" s="3">
        <v>2</v>
      </c>
      <c r="O70" s="3">
        <v>2</v>
      </c>
      <c r="P70" s="3">
        <v>1</v>
      </c>
      <c r="Q70" s="3">
        <v>2</v>
      </c>
      <c r="R70" s="3">
        <v>74562</v>
      </c>
    </row>
    <row r="71" spans="1:18" x14ac:dyDescent="0.25">
      <c r="A71" s="1">
        <v>60000067</v>
      </c>
      <c r="B71" s="3">
        <v>48</v>
      </c>
      <c r="C71" s="3">
        <v>2</v>
      </c>
      <c r="D71" s="3">
        <v>1</v>
      </c>
      <c r="E71" s="3">
        <v>3</v>
      </c>
      <c r="F71">
        <v>1</v>
      </c>
      <c r="G71" s="3">
        <v>15</v>
      </c>
      <c r="H71" s="3">
        <v>2</v>
      </c>
      <c r="I71" s="3">
        <v>12</v>
      </c>
      <c r="J71" s="3">
        <v>7</v>
      </c>
      <c r="K71" s="3">
        <v>33</v>
      </c>
      <c r="L71" s="3">
        <v>1</v>
      </c>
      <c r="M71" s="3">
        <v>2</v>
      </c>
      <c r="N71" s="3">
        <v>2</v>
      </c>
      <c r="O71" s="3">
        <v>2</v>
      </c>
      <c r="P71" s="3">
        <v>2</v>
      </c>
      <c r="Q71" s="3">
        <v>0</v>
      </c>
      <c r="R71" s="3">
        <v>23033</v>
      </c>
    </row>
    <row r="72" spans="1:18" x14ac:dyDescent="0.25">
      <c r="A72" s="1">
        <v>60000068</v>
      </c>
      <c r="B72" s="3">
        <v>57</v>
      </c>
      <c r="C72" s="3">
        <v>2</v>
      </c>
      <c r="D72" s="3">
        <v>2</v>
      </c>
      <c r="E72" s="3">
        <v>7</v>
      </c>
      <c r="F72">
        <v>1</v>
      </c>
      <c r="G72" s="3">
        <v>32</v>
      </c>
      <c r="H72" s="3">
        <v>5</v>
      </c>
      <c r="I72" s="3">
        <v>4</v>
      </c>
      <c r="J72" s="3">
        <v>1</v>
      </c>
      <c r="K72" s="3">
        <v>24</v>
      </c>
      <c r="L72" s="3">
        <v>1</v>
      </c>
      <c r="M72" s="3">
        <v>2</v>
      </c>
      <c r="N72" s="3">
        <v>2</v>
      </c>
      <c r="O72" s="3">
        <v>2</v>
      </c>
      <c r="P72" s="3">
        <v>1</v>
      </c>
      <c r="Q72" s="3">
        <v>7</v>
      </c>
      <c r="R72" s="3">
        <v>49487</v>
      </c>
    </row>
    <row r="73" spans="1:18" x14ac:dyDescent="0.25">
      <c r="A73" s="1">
        <v>60000069</v>
      </c>
      <c r="B73" s="3">
        <v>20</v>
      </c>
      <c r="C73" s="3">
        <v>1</v>
      </c>
      <c r="D73" s="3">
        <v>2</v>
      </c>
      <c r="E73" s="3">
        <v>11</v>
      </c>
      <c r="F73" s="3">
        <v>1</v>
      </c>
      <c r="G73" s="3">
        <v>13</v>
      </c>
      <c r="H73" s="3">
        <v>2</v>
      </c>
      <c r="I73" s="3">
        <v>16</v>
      </c>
      <c r="J73" s="3">
        <v>5</v>
      </c>
      <c r="K73" s="3">
        <v>44</v>
      </c>
      <c r="L73" s="3">
        <v>1</v>
      </c>
      <c r="M73" s="3">
        <v>2</v>
      </c>
      <c r="N73" s="3">
        <v>2</v>
      </c>
      <c r="O73" s="3">
        <v>2</v>
      </c>
      <c r="P73" s="3">
        <v>1</v>
      </c>
      <c r="Q73" s="3">
        <v>6</v>
      </c>
      <c r="R73" s="3">
        <v>81554</v>
      </c>
    </row>
    <row r="74" spans="1:18" x14ac:dyDescent="0.25">
      <c r="A74" s="1">
        <v>60000070</v>
      </c>
      <c r="B74" s="3">
        <v>63</v>
      </c>
      <c r="C74" s="3">
        <v>2</v>
      </c>
      <c r="D74" s="3">
        <v>2</v>
      </c>
      <c r="E74" s="3">
        <v>11</v>
      </c>
      <c r="F74">
        <v>1</v>
      </c>
      <c r="G74" s="3">
        <v>23</v>
      </c>
      <c r="H74" s="3">
        <v>3</v>
      </c>
      <c r="I74" s="3">
        <v>2</v>
      </c>
      <c r="J74" s="3">
        <v>8</v>
      </c>
      <c r="K74" s="3">
        <v>38</v>
      </c>
      <c r="L74" s="3">
        <v>1</v>
      </c>
      <c r="M74" s="3">
        <v>2</v>
      </c>
      <c r="N74" s="3">
        <v>2</v>
      </c>
      <c r="O74" s="3">
        <v>2</v>
      </c>
      <c r="P74" s="3">
        <v>2</v>
      </c>
      <c r="Q74" s="3">
        <v>0</v>
      </c>
      <c r="R74" s="3">
        <v>50937</v>
      </c>
    </row>
    <row r="75" spans="1:18" x14ac:dyDescent="0.25">
      <c r="A75" s="1">
        <v>60000071</v>
      </c>
      <c r="B75" s="3">
        <v>54</v>
      </c>
      <c r="C75" s="3">
        <v>1</v>
      </c>
      <c r="D75" s="3">
        <v>1</v>
      </c>
      <c r="E75" s="3">
        <v>6</v>
      </c>
      <c r="F75">
        <v>1</v>
      </c>
      <c r="G75" s="3">
        <v>38</v>
      </c>
      <c r="H75" s="3">
        <v>5</v>
      </c>
      <c r="I75" s="3">
        <v>14</v>
      </c>
      <c r="J75" s="3">
        <v>12</v>
      </c>
      <c r="K75" s="3">
        <v>6</v>
      </c>
      <c r="L75" s="3">
        <v>1</v>
      </c>
      <c r="M75" s="3">
        <v>2</v>
      </c>
      <c r="N75" s="3">
        <v>2</v>
      </c>
      <c r="O75" s="3">
        <v>2</v>
      </c>
      <c r="P75" s="3">
        <v>2</v>
      </c>
      <c r="Q75" s="3">
        <v>0</v>
      </c>
      <c r="R75" s="3">
        <v>50926</v>
      </c>
    </row>
    <row r="76" spans="1:18" x14ac:dyDescent="0.25">
      <c r="A76" s="1">
        <v>60000072</v>
      </c>
      <c r="B76" s="3">
        <v>34</v>
      </c>
      <c r="C76" s="3">
        <v>1</v>
      </c>
      <c r="D76" s="3">
        <v>1</v>
      </c>
      <c r="E76" s="3">
        <v>3</v>
      </c>
      <c r="F76">
        <v>1</v>
      </c>
      <c r="G76" s="3">
        <v>20</v>
      </c>
      <c r="H76" s="3">
        <v>3</v>
      </c>
      <c r="I76" s="3">
        <v>7</v>
      </c>
      <c r="J76" s="3">
        <v>7</v>
      </c>
      <c r="K76" s="3">
        <v>28</v>
      </c>
      <c r="L76" s="3">
        <v>1</v>
      </c>
      <c r="M76" s="3">
        <v>2</v>
      </c>
      <c r="N76" s="3">
        <v>2</v>
      </c>
      <c r="O76" s="3">
        <v>2</v>
      </c>
      <c r="P76" s="3">
        <v>2</v>
      </c>
      <c r="Q76" s="3">
        <v>0</v>
      </c>
      <c r="R76" s="3">
        <v>65453</v>
      </c>
    </row>
    <row r="77" spans="1:18" x14ac:dyDescent="0.25">
      <c r="A77" s="1">
        <v>60000073</v>
      </c>
      <c r="B77" s="3">
        <v>26</v>
      </c>
      <c r="C77" s="3">
        <v>2</v>
      </c>
      <c r="D77" s="3">
        <v>2</v>
      </c>
      <c r="E77" s="3">
        <v>12</v>
      </c>
      <c r="F77" s="3">
        <v>1</v>
      </c>
      <c r="G77" s="3">
        <v>15</v>
      </c>
      <c r="H77" s="3">
        <v>2</v>
      </c>
      <c r="I77" s="3">
        <v>2</v>
      </c>
      <c r="J77" s="3">
        <v>7</v>
      </c>
      <c r="K77" s="3">
        <v>17</v>
      </c>
      <c r="L77" s="3">
        <v>1</v>
      </c>
      <c r="M77" s="3">
        <v>2</v>
      </c>
      <c r="N77" s="3">
        <v>2</v>
      </c>
      <c r="O77" s="3">
        <v>2</v>
      </c>
      <c r="P77" s="3">
        <v>1</v>
      </c>
      <c r="Q77" s="3">
        <v>4</v>
      </c>
      <c r="R77" s="3">
        <v>60126</v>
      </c>
    </row>
    <row r="78" spans="1:18" x14ac:dyDescent="0.25">
      <c r="A78" s="1">
        <v>60000074</v>
      </c>
      <c r="B78" s="3">
        <v>40</v>
      </c>
      <c r="C78" s="3">
        <v>1</v>
      </c>
      <c r="D78" s="3">
        <v>1</v>
      </c>
      <c r="E78" s="3">
        <v>4</v>
      </c>
      <c r="F78">
        <v>1</v>
      </c>
      <c r="G78" s="3">
        <v>13</v>
      </c>
      <c r="H78" s="3">
        <v>2</v>
      </c>
      <c r="I78" s="3">
        <v>2</v>
      </c>
      <c r="J78" s="3">
        <v>11</v>
      </c>
      <c r="K78" s="3">
        <v>8</v>
      </c>
      <c r="L78" s="3">
        <v>1</v>
      </c>
      <c r="M78" s="3">
        <v>2</v>
      </c>
      <c r="N78" s="3">
        <v>2</v>
      </c>
      <c r="O78" s="3">
        <v>2</v>
      </c>
      <c r="P78" s="3">
        <v>2</v>
      </c>
      <c r="Q78" s="3">
        <v>0</v>
      </c>
      <c r="R78" s="3">
        <v>23711</v>
      </c>
    </row>
    <row r="79" spans="1:18" x14ac:dyDescent="0.25">
      <c r="A79" s="1">
        <v>60000075</v>
      </c>
      <c r="B79" s="3">
        <v>57</v>
      </c>
      <c r="C79" s="3">
        <v>2</v>
      </c>
      <c r="D79" s="3">
        <v>1</v>
      </c>
      <c r="E79" s="3">
        <v>6</v>
      </c>
      <c r="F79">
        <v>1</v>
      </c>
      <c r="G79" s="3">
        <v>33</v>
      </c>
      <c r="H79" s="3">
        <v>5</v>
      </c>
      <c r="I79" s="3">
        <v>6</v>
      </c>
      <c r="J79" s="3">
        <v>5</v>
      </c>
      <c r="K79" s="3">
        <v>33</v>
      </c>
      <c r="L79" s="3">
        <v>1</v>
      </c>
      <c r="M79" s="3">
        <v>2</v>
      </c>
      <c r="N79" s="3">
        <v>2</v>
      </c>
      <c r="O79" s="3">
        <v>2</v>
      </c>
      <c r="P79" s="3">
        <v>2</v>
      </c>
      <c r="Q79" s="3">
        <v>0</v>
      </c>
      <c r="R79" s="3">
        <v>77308</v>
      </c>
    </row>
    <row r="80" spans="1:18" x14ac:dyDescent="0.25">
      <c r="A80" s="1">
        <v>60000076</v>
      </c>
      <c r="B80" s="3">
        <v>21</v>
      </c>
      <c r="C80" s="3">
        <v>1</v>
      </c>
      <c r="D80" s="3">
        <v>2</v>
      </c>
      <c r="E80" s="3">
        <v>11</v>
      </c>
      <c r="F80">
        <v>1</v>
      </c>
      <c r="G80" s="3">
        <v>10</v>
      </c>
      <c r="H80" s="3">
        <v>1</v>
      </c>
      <c r="I80" s="3">
        <v>6</v>
      </c>
      <c r="J80" s="3">
        <v>13</v>
      </c>
      <c r="K80" s="3">
        <v>24</v>
      </c>
      <c r="L80" s="3">
        <v>1</v>
      </c>
      <c r="M80" s="3">
        <v>2</v>
      </c>
      <c r="N80" s="3">
        <v>2</v>
      </c>
      <c r="O80" s="3">
        <v>2</v>
      </c>
      <c r="P80" s="3">
        <v>2</v>
      </c>
      <c r="Q80" s="3">
        <v>0</v>
      </c>
      <c r="R80" s="3">
        <v>34801</v>
      </c>
    </row>
    <row r="81" spans="1:18" x14ac:dyDescent="0.25">
      <c r="A81" s="1">
        <v>60000077</v>
      </c>
      <c r="B81" s="3">
        <v>27</v>
      </c>
      <c r="C81" s="3">
        <v>2</v>
      </c>
      <c r="D81" s="3">
        <v>2</v>
      </c>
      <c r="E81" s="3">
        <v>12</v>
      </c>
      <c r="F81" s="3">
        <v>1</v>
      </c>
      <c r="G81" s="3">
        <v>16</v>
      </c>
      <c r="H81" s="3">
        <v>2</v>
      </c>
      <c r="I81" s="3">
        <v>16</v>
      </c>
      <c r="J81" s="3">
        <v>13</v>
      </c>
      <c r="K81" s="3">
        <v>40</v>
      </c>
      <c r="L81" s="3">
        <v>1</v>
      </c>
      <c r="M81" s="3">
        <v>2</v>
      </c>
      <c r="N81" s="3">
        <v>2</v>
      </c>
      <c r="O81" s="3">
        <v>2</v>
      </c>
      <c r="P81" s="3">
        <v>1</v>
      </c>
      <c r="Q81" s="3">
        <v>2</v>
      </c>
      <c r="R81" s="3">
        <v>79253</v>
      </c>
    </row>
    <row r="82" spans="1:18" x14ac:dyDescent="0.25">
      <c r="A82" s="1">
        <v>60000078</v>
      </c>
      <c r="B82" s="3">
        <v>59</v>
      </c>
      <c r="C82" s="3">
        <v>2</v>
      </c>
      <c r="D82" s="3">
        <v>2</v>
      </c>
      <c r="E82" s="3">
        <v>1</v>
      </c>
      <c r="F82">
        <v>1</v>
      </c>
      <c r="G82" s="3">
        <v>38</v>
      </c>
      <c r="H82" s="3">
        <v>5</v>
      </c>
      <c r="I82" s="3">
        <v>9</v>
      </c>
      <c r="J82" s="3">
        <v>5</v>
      </c>
      <c r="K82" s="3">
        <v>15</v>
      </c>
      <c r="L82" s="3">
        <v>1</v>
      </c>
      <c r="M82" s="3">
        <v>2</v>
      </c>
      <c r="N82" s="3">
        <v>2</v>
      </c>
      <c r="O82" s="3">
        <v>2</v>
      </c>
      <c r="P82" s="3">
        <v>2</v>
      </c>
      <c r="Q82" s="3">
        <v>0</v>
      </c>
      <c r="R82" s="3">
        <v>74467</v>
      </c>
    </row>
    <row r="83" spans="1:18" x14ac:dyDescent="0.25">
      <c r="A83" s="1">
        <v>60000079</v>
      </c>
      <c r="B83" s="3">
        <v>50</v>
      </c>
      <c r="C83" s="3">
        <v>2</v>
      </c>
      <c r="D83" s="3">
        <v>2</v>
      </c>
      <c r="E83" s="3">
        <v>6</v>
      </c>
      <c r="F83">
        <v>1</v>
      </c>
      <c r="G83" s="3">
        <v>31</v>
      </c>
      <c r="H83" s="3">
        <v>4</v>
      </c>
      <c r="I83" s="3">
        <v>1</v>
      </c>
      <c r="J83" s="3">
        <v>8</v>
      </c>
      <c r="K83" s="3">
        <v>18</v>
      </c>
      <c r="L83" s="3">
        <v>1</v>
      </c>
      <c r="M83" s="3">
        <v>2</v>
      </c>
      <c r="N83" s="3">
        <v>2</v>
      </c>
      <c r="O83" s="3">
        <v>2</v>
      </c>
      <c r="P83" s="3">
        <v>1</v>
      </c>
      <c r="Q83" s="3">
        <v>0</v>
      </c>
      <c r="R83" s="3">
        <v>71270</v>
      </c>
    </row>
    <row r="84" spans="1:18" x14ac:dyDescent="0.25">
      <c r="A84" s="1">
        <v>60000080</v>
      </c>
      <c r="B84" s="3">
        <v>51</v>
      </c>
      <c r="C84" s="3">
        <v>2</v>
      </c>
      <c r="D84" s="3">
        <v>1</v>
      </c>
      <c r="E84" s="3">
        <v>9</v>
      </c>
      <c r="F84">
        <v>1</v>
      </c>
      <c r="G84" s="3">
        <v>35</v>
      </c>
      <c r="H84" s="3">
        <v>5</v>
      </c>
      <c r="I84" s="3">
        <v>4</v>
      </c>
      <c r="J84" s="3">
        <v>12</v>
      </c>
      <c r="K84" s="3">
        <v>42</v>
      </c>
      <c r="L84" s="3">
        <v>1</v>
      </c>
      <c r="M84" s="3">
        <v>2</v>
      </c>
      <c r="N84" s="3">
        <v>2</v>
      </c>
      <c r="O84" s="3">
        <v>2</v>
      </c>
      <c r="P84" s="3">
        <v>2</v>
      </c>
      <c r="Q84" s="3">
        <v>0</v>
      </c>
      <c r="R84" s="3">
        <v>84560</v>
      </c>
    </row>
    <row r="85" spans="1:18" x14ac:dyDescent="0.25">
      <c r="A85" s="1">
        <v>60000081</v>
      </c>
      <c r="B85" s="3">
        <v>44</v>
      </c>
      <c r="C85" s="3">
        <v>2</v>
      </c>
      <c r="D85" s="3">
        <v>1</v>
      </c>
      <c r="E85" s="3">
        <v>8</v>
      </c>
      <c r="F85" s="3">
        <v>1</v>
      </c>
      <c r="G85" s="3">
        <v>19</v>
      </c>
      <c r="H85" s="3">
        <v>3</v>
      </c>
      <c r="I85" s="3">
        <v>10</v>
      </c>
      <c r="J85" s="3">
        <v>10</v>
      </c>
      <c r="K85" s="3">
        <v>16</v>
      </c>
      <c r="L85" s="3">
        <v>1</v>
      </c>
      <c r="M85" s="3">
        <v>2</v>
      </c>
      <c r="N85" s="3">
        <v>2</v>
      </c>
      <c r="O85" s="3">
        <v>2</v>
      </c>
      <c r="P85" s="3">
        <v>1</v>
      </c>
      <c r="Q85" s="3">
        <v>0</v>
      </c>
      <c r="R85" s="3">
        <v>67808</v>
      </c>
    </row>
    <row r="86" spans="1:18" x14ac:dyDescent="0.25">
      <c r="A86" s="1">
        <v>60000082</v>
      </c>
      <c r="B86" s="3">
        <v>22</v>
      </c>
      <c r="C86" s="3">
        <v>1</v>
      </c>
      <c r="D86" s="3">
        <v>2</v>
      </c>
      <c r="E86" s="3">
        <v>11</v>
      </c>
      <c r="F86">
        <v>1</v>
      </c>
      <c r="G86" s="3">
        <v>13</v>
      </c>
      <c r="H86" s="3">
        <v>2</v>
      </c>
      <c r="I86" s="3">
        <v>14</v>
      </c>
      <c r="J86" s="3">
        <v>6</v>
      </c>
      <c r="K86" s="3">
        <v>25</v>
      </c>
      <c r="L86" s="3">
        <v>1</v>
      </c>
      <c r="M86" s="3">
        <v>2</v>
      </c>
      <c r="N86" s="3">
        <v>2</v>
      </c>
      <c r="O86" s="3">
        <v>2</v>
      </c>
      <c r="P86" s="3">
        <v>2</v>
      </c>
      <c r="Q86" s="3">
        <v>0</v>
      </c>
      <c r="R86" s="3">
        <v>35771</v>
      </c>
    </row>
    <row r="87" spans="1:18" x14ac:dyDescent="0.25">
      <c r="A87" s="1">
        <v>60000083</v>
      </c>
      <c r="B87" s="3">
        <v>30</v>
      </c>
      <c r="C87" s="3">
        <v>1</v>
      </c>
      <c r="D87" s="3">
        <v>2</v>
      </c>
      <c r="E87" s="3">
        <v>1</v>
      </c>
      <c r="F87">
        <v>1</v>
      </c>
      <c r="G87" s="3">
        <v>17</v>
      </c>
      <c r="H87" s="3">
        <v>2</v>
      </c>
      <c r="I87" s="3">
        <v>10</v>
      </c>
      <c r="J87" s="3">
        <v>1</v>
      </c>
      <c r="K87" s="3">
        <v>2</v>
      </c>
      <c r="L87" s="3">
        <v>1</v>
      </c>
      <c r="M87" s="3">
        <v>2</v>
      </c>
      <c r="N87" s="3">
        <v>2</v>
      </c>
      <c r="O87" s="3">
        <v>2</v>
      </c>
      <c r="P87" s="3">
        <v>2</v>
      </c>
      <c r="Q87" s="3">
        <v>0</v>
      </c>
      <c r="R87" s="3">
        <v>28257</v>
      </c>
    </row>
    <row r="88" spans="1:18" x14ac:dyDescent="0.25">
      <c r="A88" s="1">
        <v>60000084</v>
      </c>
      <c r="B88" s="3">
        <v>52</v>
      </c>
      <c r="C88" s="3">
        <v>2</v>
      </c>
      <c r="D88" s="3">
        <v>1</v>
      </c>
      <c r="E88" s="3">
        <v>4</v>
      </c>
      <c r="F88">
        <v>1</v>
      </c>
      <c r="G88" s="3">
        <v>12</v>
      </c>
      <c r="H88" s="3">
        <v>2</v>
      </c>
      <c r="I88" s="3">
        <v>15</v>
      </c>
      <c r="J88" s="3">
        <v>6</v>
      </c>
      <c r="K88" s="3">
        <v>38</v>
      </c>
      <c r="L88" s="3">
        <v>1</v>
      </c>
      <c r="M88" s="3">
        <v>2</v>
      </c>
      <c r="N88" s="3">
        <v>2</v>
      </c>
      <c r="O88" s="3">
        <v>2</v>
      </c>
      <c r="P88" s="3">
        <v>2</v>
      </c>
      <c r="Q88" s="3">
        <v>0</v>
      </c>
      <c r="R88" s="3">
        <v>65096</v>
      </c>
    </row>
    <row r="89" spans="1:18" x14ac:dyDescent="0.25">
      <c r="A89" s="1">
        <v>60000085</v>
      </c>
      <c r="B89" s="3">
        <v>51</v>
      </c>
      <c r="C89" s="3">
        <v>2</v>
      </c>
      <c r="D89" s="3">
        <v>2</v>
      </c>
      <c r="E89" s="3">
        <v>2</v>
      </c>
      <c r="F89" s="3">
        <v>1</v>
      </c>
      <c r="G89" s="3">
        <v>27</v>
      </c>
      <c r="H89" s="3">
        <v>4</v>
      </c>
      <c r="I89" s="3">
        <v>4</v>
      </c>
      <c r="J89" s="3">
        <v>12</v>
      </c>
      <c r="K89" s="3">
        <v>45</v>
      </c>
      <c r="L89" s="3">
        <v>1</v>
      </c>
      <c r="M89" s="3">
        <v>2</v>
      </c>
      <c r="N89" s="3">
        <v>2</v>
      </c>
      <c r="O89" s="3">
        <v>2</v>
      </c>
      <c r="P89" s="3">
        <v>2</v>
      </c>
      <c r="Q89" s="3">
        <v>0</v>
      </c>
      <c r="R89" s="3">
        <v>46817</v>
      </c>
    </row>
    <row r="90" spans="1:18" x14ac:dyDescent="0.25">
      <c r="A90" s="1">
        <v>60000086</v>
      </c>
      <c r="B90" s="3">
        <v>60</v>
      </c>
      <c r="C90" s="3">
        <v>2</v>
      </c>
      <c r="D90" s="3">
        <v>1</v>
      </c>
      <c r="E90" s="3">
        <v>2</v>
      </c>
      <c r="F90">
        <v>1</v>
      </c>
      <c r="G90" s="3">
        <v>17</v>
      </c>
      <c r="H90" s="3">
        <v>2</v>
      </c>
      <c r="I90" s="3">
        <v>5</v>
      </c>
      <c r="J90" s="3">
        <v>11</v>
      </c>
      <c r="K90" s="3">
        <v>3</v>
      </c>
      <c r="L90" s="3">
        <v>1</v>
      </c>
      <c r="M90" s="3">
        <v>2</v>
      </c>
      <c r="N90" s="3">
        <v>2</v>
      </c>
      <c r="O90" s="3">
        <v>2</v>
      </c>
      <c r="P90" s="3">
        <v>1</v>
      </c>
      <c r="Q90" s="3">
        <v>3</v>
      </c>
      <c r="R90" s="3">
        <v>70068</v>
      </c>
    </row>
    <row r="91" spans="1:18" x14ac:dyDescent="0.25">
      <c r="A91" s="1">
        <v>60000087</v>
      </c>
      <c r="B91" s="3">
        <v>40</v>
      </c>
      <c r="C91" s="3">
        <v>1</v>
      </c>
      <c r="D91" s="3">
        <v>2</v>
      </c>
      <c r="E91" s="3">
        <v>12</v>
      </c>
      <c r="F91">
        <v>1</v>
      </c>
      <c r="G91" s="3">
        <v>26</v>
      </c>
      <c r="H91" s="3">
        <v>4</v>
      </c>
      <c r="I91" s="3">
        <v>4</v>
      </c>
      <c r="J91" s="3">
        <v>4</v>
      </c>
      <c r="K91" s="3">
        <v>17</v>
      </c>
      <c r="L91" s="3">
        <v>1</v>
      </c>
      <c r="M91" s="3">
        <v>2</v>
      </c>
      <c r="N91" s="3">
        <v>2</v>
      </c>
      <c r="O91" s="3">
        <v>2</v>
      </c>
      <c r="P91" s="3">
        <v>2</v>
      </c>
      <c r="Q91" s="3">
        <v>0</v>
      </c>
      <c r="R91" s="3">
        <v>64035</v>
      </c>
    </row>
    <row r="92" spans="1:18" x14ac:dyDescent="0.25">
      <c r="A92" s="1">
        <v>60000088</v>
      </c>
      <c r="B92" s="3">
        <v>48</v>
      </c>
      <c r="C92" s="3">
        <v>1</v>
      </c>
      <c r="D92" s="3">
        <v>2</v>
      </c>
      <c r="E92" s="3">
        <v>8</v>
      </c>
      <c r="F92">
        <v>1</v>
      </c>
      <c r="G92" s="3">
        <v>26</v>
      </c>
      <c r="H92" s="3">
        <v>4</v>
      </c>
      <c r="I92" s="3">
        <v>1</v>
      </c>
      <c r="J92" s="3">
        <v>5</v>
      </c>
      <c r="K92" s="3">
        <v>7</v>
      </c>
      <c r="L92" s="3">
        <v>1</v>
      </c>
      <c r="M92" s="3">
        <v>2</v>
      </c>
      <c r="N92" s="3">
        <v>2</v>
      </c>
      <c r="O92" s="3">
        <v>2</v>
      </c>
      <c r="P92" s="3">
        <v>2</v>
      </c>
      <c r="Q92" s="3">
        <v>0</v>
      </c>
      <c r="R92" s="3">
        <v>59746</v>
      </c>
    </row>
    <row r="93" spans="1:18" x14ac:dyDescent="0.25">
      <c r="A93" s="1">
        <v>60000089</v>
      </c>
      <c r="B93" s="3">
        <v>32</v>
      </c>
      <c r="C93" s="3">
        <v>1</v>
      </c>
      <c r="D93" s="3">
        <v>2</v>
      </c>
      <c r="E93" s="3">
        <v>2</v>
      </c>
      <c r="F93" s="3">
        <v>1</v>
      </c>
      <c r="G93" s="3">
        <v>38</v>
      </c>
      <c r="H93" s="3">
        <v>5</v>
      </c>
      <c r="I93" s="3">
        <v>10</v>
      </c>
      <c r="J93" s="3">
        <v>13</v>
      </c>
      <c r="K93" s="3">
        <v>33</v>
      </c>
      <c r="L93" s="3">
        <v>1</v>
      </c>
      <c r="M93" s="3">
        <v>2</v>
      </c>
      <c r="N93" s="3">
        <v>2</v>
      </c>
      <c r="O93" s="3">
        <v>2</v>
      </c>
      <c r="P93" s="3">
        <v>1</v>
      </c>
      <c r="Q93" s="3">
        <v>0</v>
      </c>
      <c r="R93" s="3">
        <v>65443</v>
      </c>
    </row>
    <row r="94" spans="1:18" x14ac:dyDescent="0.25">
      <c r="A94" s="1">
        <v>60000090</v>
      </c>
      <c r="B94" s="3">
        <v>65</v>
      </c>
      <c r="C94" s="3">
        <v>2</v>
      </c>
      <c r="D94" s="3">
        <v>1</v>
      </c>
      <c r="E94" s="3">
        <v>2</v>
      </c>
      <c r="F94">
        <v>1</v>
      </c>
      <c r="G94" s="3">
        <v>29</v>
      </c>
      <c r="H94" s="3">
        <v>4</v>
      </c>
      <c r="I94" s="3">
        <v>16</v>
      </c>
      <c r="J94" s="3">
        <v>6</v>
      </c>
      <c r="K94" s="3">
        <v>19</v>
      </c>
      <c r="L94" s="3">
        <v>1</v>
      </c>
      <c r="M94" s="3">
        <v>2</v>
      </c>
      <c r="N94" s="3">
        <v>2</v>
      </c>
      <c r="O94" s="3">
        <v>2</v>
      </c>
      <c r="P94" s="3">
        <v>1</v>
      </c>
      <c r="Q94" s="3">
        <v>7</v>
      </c>
      <c r="R94" s="3">
        <v>77471</v>
      </c>
    </row>
    <row r="95" spans="1:18" x14ac:dyDescent="0.25">
      <c r="A95" s="1">
        <v>60000091</v>
      </c>
      <c r="B95" s="3">
        <v>62</v>
      </c>
      <c r="C95" s="3">
        <v>2</v>
      </c>
      <c r="D95" s="3">
        <v>1</v>
      </c>
      <c r="E95" s="3">
        <v>2</v>
      </c>
      <c r="F95">
        <v>1</v>
      </c>
      <c r="G95" s="3">
        <v>13</v>
      </c>
      <c r="H95" s="3">
        <v>2</v>
      </c>
      <c r="I95" s="3">
        <v>12</v>
      </c>
      <c r="J95" s="3">
        <v>3</v>
      </c>
      <c r="K95" s="3">
        <v>22</v>
      </c>
      <c r="L95" s="3">
        <v>1</v>
      </c>
      <c r="M95" s="3">
        <v>2</v>
      </c>
      <c r="N95" s="3">
        <v>2</v>
      </c>
      <c r="O95" s="3">
        <v>2</v>
      </c>
      <c r="P95" s="3">
        <v>1</v>
      </c>
      <c r="Q95" s="3">
        <v>1</v>
      </c>
      <c r="R95" s="3">
        <v>62047</v>
      </c>
    </row>
    <row r="96" spans="1:18" x14ac:dyDescent="0.25">
      <c r="A96" s="1">
        <v>60000092</v>
      </c>
      <c r="B96" s="3">
        <v>49</v>
      </c>
      <c r="C96" s="3">
        <v>1</v>
      </c>
      <c r="D96" s="3">
        <v>2</v>
      </c>
      <c r="E96" s="3">
        <v>4</v>
      </c>
      <c r="F96">
        <v>1</v>
      </c>
      <c r="G96" s="3">
        <v>35</v>
      </c>
      <c r="H96" s="3">
        <v>5</v>
      </c>
      <c r="I96" s="3">
        <v>5</v>
      </c>
      <c r="J96" s="3">
        <v>12</v>
      </c>
      <c r="K96" s="3">
        <v>40</v>
      </c>
      <c r="L96" s="3">
        <v>1</v>
      </c>
      <c r="M96" s="3">
        <v>2</v>
      </c>
      <c r="N96" s="3">
        <v>2</v>
      </c>
      <c r="O96" s="3">
        <v>2</v>
      </c>
      <c r="P96" s="3">
        <v>1</v>
      </c>
      <c r="Q96" s="3">
        <v>3</v>
      </c>
      <c r="R96" s="3">
        <v>72608</v>
      </c>
    </row>
    <row r="97" spans="1:18" x14ac:dyDescent="0.25">
      <c r="A97" s="1">
        <v>60000093</v>
      </c>
      <c r="B97" s="3">
        <v>33</v>
      </c>
      <c r="C97" s="3">
        <v>1</v>
      </c>
      <c r="D97" s="3">
        <v>1</v>
      </c>
      <c r="E97" s="3">
        <v>4</v>
      </c>
      <c r="F97" s="3">
        <v>1</v>
      </c>
      <c r="G97" s="3">
        <v>35</v>
      </c>
      <c r="H97" s="3">
        <v>5</v>
      </c>
      <c r="I97" s="3">
        <v>6</v>
      </c>
      <c r="J97" s="3">
        <v>1</v>
      </c>
      <c r="K97" s="3">
        <v>6</v>
      </c>
      <c r="L97" s="3">
        <v>1</v>
      </c>
      <c r="M97" s="3">
        <v>2</v>
      </c>
      <c r="N97" s="3">
        <v>2</v>
      </c>
      <c r="O97" s="3">
        <v>2</v>
      </c>
      <c r="P97" s="3">
        <v>1</v>
      </c>
      <c r="Q97" s="3">
        <v>6</v>
      </c>
      <c r="R97" s="3">
        <v>33947</v>
      </c>
    </row>
    <row r="98" spans="1:18" x14ac:dyDescent="0.25">
      <c r="A98" s="1">
        <v>60000094</v>
      </c>
      <c r="B98" s="3">
        <v>37</v>
      </c>
      <c r="C98" s="3">
        <v>1</v>
      </c>
      <c r="D98" s="3">
        <v>1</v>
      </c>
      <c r="E98" s="3">
        <v>9</v>
      </c>
      <c r="F98">
        <v>1</v>
      </c>
      <c r="G98" s="3">
        <v>25</v>
      </c>
      <c r="H98" s="3">
        <v>4</v>
      </c>
      <c r="I98" s="3">
        <v>4</v>
      </c>
      <c r="J98" s="3">
        <v>10</v>
      </c>
      <c r="K98" s="3">
        <v>34</v>
      </c>
      <c r="L98" s="3">
        <v>1</v>
      </c>
      <c r="M98" s="3">
        <v>2</v>
      </c>
      <c r="N98" s="3">
        <v>2</v>
      </c>
      <c r="O98" s="3">
        <v>2</v>
      </c>
      <c r="P98" s="3">
        <v>1</v>
      </c>
      <c r="Q98" s="3">
        <v>6</v>
      </c>
      <c r="R98" s="3">
        <v>37975</v>
      </c>
    </row>
    <row r="99" spans="1:18" x14ac:dyDescent="0.25">
      <c r="A99" s="1">
        <v>60000095</v>
      </c>
      <c r="B99" s="3">
        <v>23</v>
      </c>
      <c r="C99" s="3">
        <v>1</v>
      </c>
      <c r="D99" s="3">
        <v>1</v>
      </c>
      <c r="E99" s="3">
        <v>8</v>
      </c>
      <c r="F99">
        <v>1</v>
      </c>
      <c r="G99" s="3">
        <v>12</v>
      </c>
      <c r="H99" s="3">
        <v>2</v>
      </c>
      <c r="I99" s="3">
        <v>15</v>
      </c>
      <c r="J99" s="3">
        <v>12</v>
      </c>
      <c r="K99" s="3">
        <v>36</v>
      </c>
      <c r="L99" s="3">
        <v>1</v>
      </c>
      <c r="M99" s="3">
        <v>2</v>
      </c>
      <c r="N99" s="3">
        <v>2</v>
      </c>
      <c r="O99" s="3">
        <v>2</v>
      </c>
      <c r="P99" s="3">
        <v>2</v>
      </c>
      <c r="Q99" s="3">
        <v>0</v>
      </c>
      <c r="R99" s="3">
        <v>29675</v>
      </c>
    </row>
    <row r="100" spans="1:18" x14ac:dyDescent="0.25">
      <c r="A100" s="1">
        <v>60000096</v>
      </c>
      <c r="B100" s="3">
        <v>40</v>
      </c>
      <c r="C100" s="3">
        <v>2</v>
      </c>
      <c r="D100" s="3">
        <v>2</v>
      </c>
      <c r="E100" s="3">
        <v>10</v>
      </c>
      <c r="F100">
        <v>1</v>
      </c>
      <c r="G100" s="3">
        <v>31</v>
      </c>
      <c r="H100" s="3">
        <v>4</v>
      </c>
      <c r="I100" s="3">
        <v>5</v>
      </c>
      <c r="J100" s="3">
        <v>8</v>
      </c>
      <c r="K100" s="3">
        <v>18</v>
      </c>
      <c r="L100" s="3">
        <v>1</v>
      </c>
      <c r="M100" s="3">
        <v>2</v>
      </c>
      <c r="N100" s="3">
        <v>2</v>
      </c>
      <c r="O100" s="3">
        <v>2</v>
      </c>
      <c r="P100" s="3">
        <v>2</v>
      </c>
      <c r="Q100" s="3">
        <v>0</v>
      </c>
      <c r="R100" s="3">
        <v>51903</v>
      </c>
    </row>
    <row r="101" spans="1:18" x14ac:dyDescent="0.25">
      <c r="A101" s="1">
        <v>60000097</v>
      </c>
      <c r="B101" s="3">
        <v>40</v>
      </c>
      <c r="C101" s="3">
        <v>2</v>
      </c>
      <c r="D101" s="3">
        <v>2</v>
      </c>
      <c r="E101" s="3">
        <v>1</v>
      </c>
      <c r="F101" s="3">
        <v>1</v>
      </c>
      <c r="G101" s="3">
        <v>19</v>
      </c>
      <c r="H101" s="3">
        <v>3</v>
      </c>
      <c r="I101" s="3">
        <v>3</v>
      </c>
      <c r="J101" s="3">
        <v>3</v>
      </c>
      <c r="K101" s="3">
        <v>14</v>
      </c>
      <c r="L101" s="3">
        <v>1</v>
      </c>
      <c r="M101" s="3">
        <v>2</v>
      </c>
      <c r="N101" s="3">
        <v>2</v>
      </c>
      <c r="O101" s="3">
        <v>2</v>
      </c>
      <c r="P101" s="3">
        <v>2</v>
      </c>
      <c r="Q101" s="3">
        <v>0</v>
      </c>
      <c r="R101" s="3">
        <v>75407</v>
      </c>
    </row>
    <row r="102" spans="1:18" x14ac:dyDescent="0.25">
      <c r="A102" s="1">
        <v>60000098</v>
      </c>
      <c r="B102" s="3">
        <v>62</v>
      </c>
      <c r="C102" s="3">
        <v>2</v>
      </c>
      <c r="D102" s="3">
        <v>2</v>
      </c>
      <c r="E102" s="3">
        <v>6</v>
      </c>
      <c r="F102">
        <v>1</v>
      </c>
      <c r="G102" s="3">
        <v>35</v>
      </c>
      <c r="H102" s="3">
        <v>5</v>
      </c>
      <c r="I102" s="3">
        <v>16</v>
      </c>
      <c r="J102" s="3">
        <v>7</v>
      </c>
      <c r="K102" s="3">
        <v>19</v>
      </c>
      <c r="L102" s="3">
        <v>1</v>
      </c>
      <c r="M102" s="3">
        <v>2</v>
      </c>
      <c r="N102" s="3">
        <v>2</v>
      </c>
      <c r="O102" s="3">
        <v>2</v>
      </c>
      <c r="P102" s="3">
        <v>2</v>
      </c>
      <c r="Q102" s="3">
        <v>0</v>
      </c>
      <c r="R102" s="3">
        <v>53325</v>
      </c>
    </row>
    <row r="103" spans="1:18" x14ac:dyDescent="0.25">
      <c r="A103" s="1">
        <v>60000099</v>
      </c>
      <c r="B103" s="3">
        <v>45</v>
      </c>
      <c r="C103" s="3">
        <v>1</v>
      </c>
      <c r="D103" s="3">
        <v>1</v>
      </c>
      <c r="E103" s="3">
        <v>1</v>
      </c>
      <c r="F103">
        <v>1</v>
      </c>
      <c r="G103" s="3">
        <v>36</v>
      </c>
      <c r="H103" s="3">
        <v>5</v>
      </c>
      <c r="I103" s="3">
        <v>5</v>
      </c>
      <c r="J103" s="3">
        <v>12</v>
      </c>
      <c r="K103" s="3">
        <v>48</v>
      </c>
      <c r="L103" s="3">
        <v>1</v>
      </c>
      <c r="M103" s="3">
        <v>2</v>
      </c>
      <c r="N103" s="3">
        <v>2</v>
      </c>
      <c r="O103" s="3">
        <v>2</v>
      </c>
      <c r="P103" s="3">
        <v>1</v>
      </c>
      <c r="Q103" s="3">
        <v>7</v>
      </c>
      <c r="R103" s="3">
        <v>67527</v>
      </c>
    </row>
    <row r="104" spans="1:18" x14ac:dyDescent="0.25">
      <c r="A104" s="1">
        <v>60000100</v>
      </c>
      <c r="B104" s="3">
        <v>58</v>
      </c>
      <c r="C104" s="3">
        <v>2</v>
      </c>
      <c r="D104" s="3">
        <v>2</v>
      </c>
      <c r="E104" s="3">
        <v>9</v>
      </c>
      <c r="F104">
        <v>1</v>
      </c>
      <c r="G104" s="3">
        <v>17</v>
      </c>
      <c r="H104" s="3">
        <v>2</v>
      </c>
      <c r="I104" s="3">
        <v>3</v>
      </c>
      <c r="J104" s="3">
        <v>1</v>
      </c>
      <c r="K104" s="3">
        <v>42</v>
      </c>
      <c r="L104" s="3">
        <v>1</v>
      </c>
      <c r="M104" s="3">
        <v>2</v>
      </c>
      <c r="N104" s="3">
        <v>2</v>
      </c>
      <c r="O104" s="3">
        <v>2</v>
      </c>
      <c r="P104" s="3">
        <v>1</v>
      </c>
      <c r="Q104" s="3">
        <v>5</v>
      </c>
      <c r="R104" s="3">
        <v>41676</v>
      </c>
    </row>
    <row r="105" spans="1:18" x14ac:dyDescent="0.25">
      <c r="A105" s="1">
        <v>60000101</v>
      </c>
      <c r="B105" s="3">
        <v>28</v>
      </c>
      <c r="C105" s="3">
        <v>2</v>
      </c>
      <c r="D105" s="3">
        <v>1</v>
      </c>
      <c r="E105" s="3">
        <v>7</v>
      </c>
      <c r="F105" s="3">
        <v>1</v>
      </c>
      <c r="G105" s="3">
        <v>27</v>
      </c>
      <c r="H105" s="3">
        <v>4</v>
      </c>
      <c r="I105" s="3">
        <v>11</v>
      </c>
      <c r="J105" s="3">
        <v>8</v>
      </c>
      <c r="K105" s="3">
        <v>34</v>
      </c>
      <c r="L105" s="3">
        <v>1</v>
      </c>
      <c r="M105" s="3">
        <v>2</v>
      </c>
      <c r="N105" s="3">
        <v>2</v>
      </c>
      <c r="O105" s="3">
        <v>2</v>
      </c>
      <c r="P105" s="3">
        <v>2</v>
      </c>
      <c r="Q105" s="3">
        <v>0</v>
      </c>
      <c r="R105" s="3">
        <v>83260</v>
      </c>
    </row>
    <row r="106" spans="1:18" x14ac:dyDescent="0.25">
      <c r="A106" s="1">
        <v>60000102</v>
      </c>
      <c r="B106" s="3">
        <v>49</v>
      </c>
      <c r="C106" s="3">
        <v>2</v>
      </c>
      <c r="D106" s="3">
        <v>2</v>
      </c>
      <c r="E106" s="3">
        <v>4</v>
      </c>
      <c r="F106">
        <v>1</v>
      </c>
      <c r="G106" s="3">
        <v>29</v>
      </c>
      <c r="H106" s="3">
        <v>4</v>
      </c>
      <c r="I106" s="3">
        <v>15</v>
      </c>
      <c r="J106" s="3">
        <v>4</v>
      </c>
      <c r="K106" s="3">
        <v>46</v>
      </c>
      <c r="L106" s="3">
        <v>1</v>
      </c>
      <c r="M106" s="3">
        <v>2</v>
      </c>
      <c r="N106" s="3">
        <v>2</v>
      </c>
      <c r="O106" s="3">
        <v>2</v>
      </c>
      <c r="P106" s="3">
        <v>1</v>
      </c>
      <c r="Q106" s="3">
        <v>0</v>
      </c>
      <c r="R106" s="3">
        <v>42293</v>
      </c>
    </row>
    <row r="107" spans="1:18" x14ac:dyDescent="0.25">
      <c r="A107" s="1">
        <v>60000103</v>
      </c>
      <c r="B107" s="3">
        <v>41</v>
      </c>
      <c r="C107" s="3">
        <v>2</v>
      </c>
      <c r="D107" s="3">
        <v>2</v>
      </c>
      <c r="E107" s="3">
        <v>7</v>
      </c>
      <c r="F107">
        <v>1</v>
      </c>
      <c r="G107" s="3">
        <v>23</v>
      </c>
      <c r="H107" s="3">
        <v>3</v>
      </c>
      <c r="I107" s="3">
        <v>7</v>
      </c>
      <c r="J107" s="3">
        <v>1</v>
      </c>
      <c r="K107" s="3">
        <v>36</v>
      </c>
      <c r="L107" s="3">
        <v>1</v>
      </c>
      <c r="M107" s="3">
        <v>2</v>
      </c>
      <c r="N107" s="3">
        <v>2</v>
      </c>
      <c r="O107" s="3">
        <v>2</v>
      </c>
      <c r="P107" s="3">
        <v>1</v>
      </c>
      <c r="Q107" s="3">
        <v>4</v>
      </c>
      <c r="R107" s="3">
        <v>31530</v>
      </c>
    </row>
    <row r="108" spans="1:18" x14ac:dyDescent="0.25">
      <c r="A108" s="1">
        <v>60000104</v>
      </c>
      <c r="B108" s="3">
        <v>57</v>
      </c>
      <c r="C108" s="3">
        <v>1</v>
      </c>
      <c r="D108" s="3">
        <v>1</v>
      </c>
      <c r="E108" s="3">
        <v>12</v>
      </c>
      <c r="F108">
        <v>1</v>
      </c>
      <c r="G108" s="3">
        <v>21</v>
      </c>
      <c r="H108" s="3">
        <v>3</v>
      </c>
      <c r="I108" s="3">
        <v>11</v>
      </c>
      <c r="J108" s="3">
        <v>8</v>
      </c>
      <c r="K108" s="3">
        <v>17</v>
      </c>
      <c r="L108" s="3">
        <v>1</v>
      </c>
      <c r="M108" s="3">
        <v>2</v>
      </c>
      <c r="N108" s="3">
        <v>2</v>
      </c>
      <c r="O108" s="3">
        <v>2</v>
      </c>
      <c r="P108" s="3">
        <v>2</v>
      </c>
      <c r="Q108" s="3">
        <v>0</v>
      </c>
      <c r="R108" s="3">
        <v>80431</v>
      </c>
    </row>
    <row r="109" spans="1:18" x14ac:dyDescent="0.25">
      <c r="A109" s="1">
        <v>60000105</v>
      </c>
      <c r="B109" s="3">
        <v>56</v>
      </c>
      <c r="C109" s="3">
        <v>1</v>
      </c>
      <c r="D109" s="3">
        <v>1</v>
      </c>
      <c r="E109" s="3">
        <v>8</v>
      </c>
      <c r="F109" s="3">
        <v>1</v>
      </c>
      <c r="G109" s="3">
        <v>36</v>
      </c>
      <c r="H109" s="3">
        <v>5</v>
      </c>
      <c r="I109" s="3">
        <v>12</v>
      </c>
      <c r="J109" s="3">
        <v>5</v>
      </c>
      <c r="K109" s="3">
        <v>37</v>
      </c>
      <c r="L109" s="3">
        <v>1</v>
      </c>
      <c r="M109" s="3">
        <v>2</v>
      </c>
      <c r="N109" s="3">
        <v>2</v>
      </c>
      <c r="O109" s="3">
        <v>2</v>
      </c>
      <c r="P109" s="3">
        <v>1</v>
      </c>
      <c r="Q109" s="3">
        <v>2</v>
      </c>
      <c r="R109" s="3">
        <v>27023</v>
      </c>
    </row>
    <row r="110" spans="1:18" x14ac:dyDescent="0.25">
      <c r="A110" s="1">
        <v>60000106</v>
      </c>
      <c r="B110" s="3">
        <v>34</v>
      </c>
      <c r="C110" s="3">
        <v>1</v>
      </c>
      <c r="D110" s="3">
        <v>1</v>
      </c>
      <c r="E110" s="3">
        <v>12</v>
      </c>
      <c r="F110">
        <v>1</v>
      </c>
      <c r="G110" s="3">
        <v>11</v>
      </c>
      <c r="H110" s="3">
        <v>1</v>
      </c>
      <c r="I110" s="3">
        <v>6</v>
      </c>
      <c r="J110" s="3">
        <v>12</v>
      </c>
      <c r="K110" s="3">
        <v>21</v>
      </c>
      <c r="L110" s="3">
        <v>1</v>
      </c>
      <c r="M110" s="3">
        <v>2</v>
      </c>
      <c r="N110" s="3">
        <v>2</v>
      </c>
      <c r="O110" s="3">
        <v>2</v>
      </c>
      <c r="P110" s="3">
        <v>1</v>
      </c>
      <c r="Q110" s="3">
        <v>0</v>
      </c>
      <c r="R110" s="3">
        <v>30628</v>
      </c>
    </row>
    <row r="111" spans="1:18" x14ac:dyDescent="0.25">
      <c r="A111" s="1">
        <v>60000107</v>
      </c>
      <c r="B111" s="3">
        <v>48</v>
      </c>
      <c r="C111" s="3">
        <v>2</v>
      </c>
      <c r="D111" s="3">
        <v>1</v>
      </c>
      <c r="E111" s="3">
        <v>1</v>
      </c>
      <c r="F111">
        <v>1</v>
      </c>
      <c r="G111" s="3">
        <v>11</v>
      </c>
      <c r="H111" s="3">
        <v>1</v>
      </c>
      <c r="I111" s="3">
        <v>2</v>
      </c>
      <c r="J111" s="3">
        <v>10</v>
      </c>
      <c r="K111" s="3">
        <v>50</v>
      </c>
      <c r="L111" s="3">
        <v>1</v>
      </c>
      <c r="M111" s="3">
        <v>2</v>
      </c>
      <c r="N111" s="3">
        <v>2</v>
      </c>
      <c r="O111" s="3">
        <v>2</v>
      </c>
      <c r="P111" s="3">
        <v>1</v>
      </c>
      <c r="Q111" s="3">
        <v>7</v>
      </c>
      <c r="R111" s="3">
        <v>84173</v>
      </c>
    </row>
    <row r="112" spans="1:18" x14ac:dyDescent="0.25">
      <c r="A112" s="1">
        <v>60000108</v>
      </c>
      <c r="B112" s="3">
        <v>63</v>
      </c>
      <c r="C112" s="3">
        <v>2</v>
      </c>
      <c r="D112" s="3">
        <v>1</v>
      </c>
      <c r="E112" s="3">
        <v>9</v>
      </c>
      <c r="F112">
        <v>1</v>
      </c>
      <c r="G112" s="3">
        <v>28</v>
      </c>
      <c r="H112" s="3">
        <v>4</v>
      </c>
      <c r="I112" s="3">
        <v>15</v>
      </c>
      <c r="J112" s="3">
        <v>10</v>
      </c>
      <c r="K112" s="3">
        <v>23</v>
      </c>
      <c r="L112" s="3">
        <v>1</v>
      </c>
      <c r="M112" s="3">
        <v>2</v>
      </c>
      <c r="N112" s="3">
        <v>2</v>
      </c>
      <c r="O112" s="3">
        <v>2</v>
      </c>
      <c r="P112" s="3">
        <v>1</v>
      </c>
      <c r="Q112" s="3">
        <v>4</v>
      </c>
      <c r="R112" s="3">
        <v>40057</v>
      </c>
    </row>
    <row r="113" spans="1:18" x14ac:dyDescent="0.25">
      <c r="A113" s="1">
        <v>60000109</v>
      </c>
      <c r="B113" s="3">
        <v>20</v>
      </c>
      <c r="C113" s="3">
        <v>2</v>
      </c>
      <c r="D113" s="3">
        <v>2</v>
      </c>
      <c r="E113" s="3">
        <v>2</v>
      </c>
      <c r="F113" s="3">
        <v>1</v>
      </c>
      <c r="G113" s="3">
        <v>32</v>
      </c>
      <c r="H113" s="3">
        <v>5</v>
      </c>
      <c r="I113" s="3">
        <v>6</v>
      </c>
      <c r="J113" s="3">
        <v>3</v>
      </c>
      <c r="K113" s="3">
        <v>36</v>
      </c>
      <c r="L113" s="3">
        <v>1</v>
      </c>
      <c r="M113" s="3">
        <v>2</v>
      </c>
      <c r="N113" s="3">
        <v>2</v>
      </c>
      <c r="O113" s="3">
        <v>2</v>
      </c>
      <c r="P113" s="3">
        <v>1</v>
      </c>
      <c r="Q113" s="3">
        <v>0</v>
      </c>
      <c r="R113" s="3">
        <v>31074</v>
      </c>
    </row>
    <row r="114" spans="1:18" x14ac:dyDescent="0.25">
      <c r="A114" s="1">
        <v>60000110</v>
      </c>
      <c r="B114" s="3">
        <v>50</v>
      </c>
      <c r="C114" s="3">
        <v>1</v>
      </c>
      <c r="D114" s="3">
        <v>2</v>
      </c>
      <c r="E114" s="3">
        <v>10</v>
      </c>
      <c r="F114">
        <v>1</v>
      </c>
      <c r="G114" s="3">
        <v>35</v>
      </c>
      <c r="H114" s="3">
        <v>5</v>
      </c>
      <c r="I114" s="3">
        <v>2</v>
      </c>
      <c r="J114" s="3">
        <v>13</v>
      </c>
      <c r="K114" s="3">
        <v>9</v>
      </c>
      <c r="L114" s="3">
        <v>1</v>
      </c>
      <c r="M114" s="3">
        <v>2</v>
      </c>
      <c r="N114" s="3">
        <v>2</v>
      </c>
      <c r="O114" s="3">
        <v>2</v>
      </c>
      <c r="P114" s="3">
        <v>1</v>
      </c>
      <c r="Q114" s="3">
        <v>5</v>
      </c>
      <c r="R114" s="3">
        <v>40029</v>
      </c>
    </row>
    <row r="115" spans="1:18" x14ac:dyDescent="0.25">
      <c r="A115" s="1">
        <v>60000111</v>
      </c>
      <c r="B115" s="3">
        <v>51</v>
      </c>
      <c r="C115" s="3">
        <v>1</v>
      </c>
      <c r="D115" s="3">
        <v>1</v>
      </c>
      <c r="E115" s="3">
        <v>3</v>
      </c>
      <c r="F115">
        <v>1</v>
      </c>
      <c r="G115" s="3">
        <v>22</v>
      </c>
      <c r="H115" s="3">
        <v>3</v>
      </c>
      <c r="I115" s="3">
        <v>9</v>
      </c>
      <c r="J115" s="3">
        <v>13</v>
      </c>
      <c r="K115" s="3">
        <v>32</v>
      </c>
      <c r="L115" s="3">
        <v>1</v>
      </c>
      <c r="M115" s="3">
        <v>2</v>
      </c>
      <c r="N115" s="3">
        <v>2</v>
      </c>
      <c r="O115" s="3">
        <v>2</v>
      </c>
      <c r="P115" s="3">
        <v>1</v>
      </c>
      <c r="Q115" s="3">
        <v>0</v>
      </c>
      <c r="R115" s="3">
        <v>63650</v>
      </c>
    </row>
    <row r="116" spans="1:18" x14ac:dyDescent="0.25">
      <c r="A116" s="1">
        <v>60000112</v>
      </c>
      <c r="B116" s="3">
        <v>63</v>
      </c>
      <c r="C116" s="3">
        <v>1</v>
      </c>
      <c r="D116" s="3">
        <v>2</v>
      </c>
      <c r="E116" s="3">
        <v>1</v>
      </c>
      <c r="F116">
        <v>1</v>
      </c>
      <c r="G116" s="3">
        <v>28</v>
      </c>
      <c r="H116" s="3">
        <v>4</v>
      </c>
      <c r="I116" s="3">
        <v>4</v>
      </c>
      <c r="J116" s="3">
        <v>1</v>
      </c>
      <c r="K116" s="3">
        <v>42</v>
      </c>
      <c r="L116" s="3">
        <v>1</v>
      </c>
      <c r="M116" s="3">
        <v>2</v>
      </c>
      <c r="N116" s="3">
        <v>2</v>
      </c>
      <c r="O116" s="3">
        <v>2</v>
      </c>
      <c r="P116" s="3">
        <v>2</v>
      </c>
      <c r="Q116" s="3">
        <v>0</v>
      </c>
      <c r="R116" s="3">
        <v>78866</v>
      </c>
    </row>
    <row r="117" spans="1:18" x14ac:dyDescent="0.25">
      <c r="A117" s="1">
        <v>60000113</v>
      </c>
      <c r="B117" s="3">
        <v>53</v>
      </c>
      <c r="C117" s="3">
        <v>2</v>
      </c>
      <c r="D117" s="3">
        <v>2</v>
      </c>
      <c r="E117" s="3">
        <v>10</v>
      </c>
      <c r="F117" s="3">
        <v>1</v>
      </c>
      <c r="G117" s="3">
        <v>25</v>
      </c>
      <c r="H117" s="3">
        <v>4</v>
      </c>
      <c r="I117" s="3">
        <v>7</v>
      </c>
      <c r="J117" s="3">
        <v>3</v>
      </c>
      <c r="K117" s="3">
        <v>32</v>
      </c>
      <c r="L117" s="3">
        <v>1</v>
      </c>
      <c r="M117" s="3">
        <v>2</v>
      </c>
      <c r="N117" s="3">
        <v>2</v>
      </c>
      <c r="O117" s="3">
        <v>2</v>
      </c>
      <c r="P117" s="3">
        <v>1</v>
      </c>
      <c r="Q117" s="3">
        <v>3</v>
      </c>
      <c r="R117" s="3">
        <v>51138</v>
      </c>
    </row>
    <row r="118" spans="1:18" x14ac:dyDescent="0.25">
      <c r="A118" s="1">
        <v>60000114</v>
      </c>
      <c r="B118" s="3">
        <v>50</v>
      </c>
      <c r="C118" s="3">
        <v>2</v>
      </c>
      <c r="D118" s="3">
        <v>1</v>
      </c>
      <c r="E118" s="3">
        <v>2</v>
      </c>
      <c r="F118">
        <v>1</v>
      </c>
      <c r="G118" s="3">
        <v>19</v>
      </c>
      <c r="H118" s="3">
        <v>3</v>
      </c>
      <c r="I118" s="3">
        <v>12</v>
      </c>
      <c r="J118" s="3">
        <v>13</v>
      </c>
      <c r="K118" s="3">
        <v>43</v>
      </c>
      <c r="L118" s="3">
        <v>1</v>
      </c>
      <c r="M118" s="3">
        <v>2</v>
      </c>
      <c r="N118" s="3">
        <v>2</v>
      </c>
      <c r="O118" s="3">
        <v>2</v>
      </c>
      <c r="P118" s="3">
        <v>1</v>
      </c>
      <c r="Q118" s="3">
        <v>6</v>
      </c>
      <c r="R118" s="3">
        <v>66491</v>
      </c>
    </row>
    <row r="119" spans="1:18" x14ac:dyDescent="0.25">
      <c r="A119" s="1">
        <v>60000115</v>
      </c>
      <c r="B119" s="3">
        <v>31</v>
      </c>
      <c r="C119" s="3">
        <v>2</v>
      </c>
      <c r="D119" s="3">
        <v>1</v>
      </c>
      <c r="E119" s="3">
        <v>8</v>
      </c>
      <c r="F119">
        <v>1</v>
      </c>
      <c r="G119" s="3">
        <v>17</v>
      </c>
      <c r="H119" s="3">
        <v>2</v>
      </c>
      <c r="I119" s="3">
        <v>15</v>
      </c>
      <c r="J119" s="3">
        <v>3</v>
      </c>
      <c r="K119" s="3">
        <v>34</v>
      </c>
      <c r="L119" s="3">
        <v>1</v>
      </c>
      <c r="M119" s="3">
        <v>2</v>
      </c>
      <c r="N119" s="3">
        <v>2</v>
      </c>
      <c r="O119" s="3">
        <v>2</v>
      </c>
      <c r="P119" s="3">
        <v>1</v>
      </c>
      <c r="Q119" s="3">
        <v>3</v>
      </c>
      <c r="R119" s="3">
        <v>48516</v>
      </c>
    </row>
    <row r="120" spans="1:18" x14ac:dyDescent="0.25">
      <c r="A120" s="1">
        <v>60000116</v>
      </c>
      <c r="B120" s="3">
        <v>36</v>
      </c>
      <c r="C120" s="3">
        <v>1</v>
      </c>
      <c r="D120" s="3">
        <v>2</v>
      </c>
      <c r="E120" s="3">
        <v>6</v>
      </c>
      <c r="F120">
        <v>1</v>
      </c>
      <c r="G120" s="3">
        <v>23</v>
      </c>
      <c r="H120" s="3">
        <v>3</v>
      </c>
      <c r="I120" s="3">
        <v>2</v>
      </c>
      <c r="J120" s="3">
        <v>10</v>
      </c>
      <c r="K120" s="3">
        <v>2</v>
      </c>
      <c r="L120" s="3">
        <v>1</v>
      </c>
      <c r="M120" s="3">
        <v>2</v>
      </c>
      <c r="N120" s="3">
        <v>2</v>
      </c>
      <c r="O120" s="3">
        <v>2</v>
      </c>
      <c r="P120" s="3">
        <v>2</v>
      </c>
      <c r="Q120" s="3">
        <v>0</v>
      </c>
      <c r="R120" s="3">
        <v>58625</v>
      </c>
    </row>
    <row r="121" spans="1:18" x14ac:dyDescent="0.25">
      <c r="A121" s="1">
        <v>60000117</v>
      </c>
      <c r="B121" s="3">
        <v>38</v>
      </c>
      <c r="C121" s="3">
        <v>2</v>
      </c>
      <c r="D121" s="3">
        <v>1</v>
      </c>
      <c r="E121" s="3">
        <v>12</v>
      </c>
      <c r="F121" s="3">
        <v>1</v>
      </c>
      <c r="G121" s="3">
        <v>20</v>
      </c>
      <c r="H121" s="3">
        <v>3</v>
      </c>
      <c r="I121" s="3">
        <v>9</v>
      </c>
      <c r="J121" s="3">
        <v>2</v>
      </c>
      <c r="K121" s="3">
        <v>2</v>
      </c>
      <c r="L121" s="3">
        <v>1</v>
      </c>
      <c r="M121" s="3">
        <v>2</v>
      </c>
      <c r="N121" s="3">
        <v>2</v>
      </c>
      <c r="O121" s="3">
        <v>2</v>
      </c>
      <c r="P121" s="3">
        <v>1</v>
      </c>
      <c r="Q121" s="3">
        <v>1</v>
      </c>
      <c r="R121" s="3">
        <v>35181</v>
      </c>
    </row>
    <row r="122" spans="1:18" x14ac:dyDescent="0.25">
      <c r="A122" s="1">
        <v>60000118</v>
      </c>
      <c r="B122" s="3">
        <v>26</v>
      </c>
      <c r="C122" s="3">
        <v>1</v>
      </c>
      <c r="D122" s="3">
        <v>1</v>
      </c>
      <c r="E122" s="3">
        <v>4</v>
      </c>
      <c r="F122">
        <v>1</v>
      </c>
      <c r="G122" s="3">
        <v>28</v>
      </c>
      <c r="H122" s="3">
        <v>4</v>
      </c>
      <c r="I122" s="3">
        <v>3</v>
      </c>
      <c r="J122" s="3">
        <v>5</v>
      </c>
      <c r="K122" s="3">
        <v>39</v>
      </c>
      <c r="L122" s="3">
        <v>1</v>
      </c>
      <c r="M122" s="3">
        <v>2</v>
      </c>
      <c r="N122" s="3">
        <v>2</v>
      </c>
      <c r="O122" s="3">
        <v>2</v>
      </c>
      <c r="P122" s="3">
        <v>2</v>
      </c>
      <c r="Q122" s="3">
        <v>0</v>
      </c>
      <c r="R122" s="3">
        <v>30585</v>
      </c>
    </row>
    <row r="123" spans="1:18" x14ac:dyDescent="0.25">
      <c r="A123" s="1">
        <v>60000119</v>
      </c>
      <c r="B123" s="3">
        <v>34</v>
      </c>
      <c r="C123" s="3">
        <v>1</v>
      </c>
      <c r="D123" s="3">
        <v>2</v>
      </c>
      <c r="E123" s="3">
        <v>5</v>
      </c>
      <c r="F123">
        <v>1</v>
      </c>
      <c r="G123" s="3">
        <v>37</v>
      </c>
      <c r="H123" s="3">
        <v>5</v>
      </c>
      <c r="I123" s="3">
        <v>14</v>
      </c>
      <c r="J123" s="3">
        <v>2</v>
      </c>
      <c r="K123" s="3">
        <v>10</v>
      </c>
      <c r="L123" s="3">
        <v>1</v>
      </c>
      <c r="M123" s="3">
        <v>2</v>
      </c>
      <c r="N123" s="3">
        <v>2</v>
      </c>
      <c r="O123" s="3">
        <v>2</v>
      </c>
      <c r="P123" s="3">
        <v>2</v>
      </c>
      <c r="Q123" s="3">
        <v>0</v>
      </c>
      <c r="R123" s="3">
        <v>52519</v>
      </c>
    </row>
    <row r="124" spans="1:18" x14ac:dyDescent="0.25">
      <c r="A124" s="1">
        <v>60000120</v>
      </c>
      <c r="B124" s="3">
        <v>35</v>
      </c>
      <c r="C124" s="3">
        <v>1</v>
      </c>
      <c r="D124" s="3">
        <v>1</v>
      </c>
      <c r="E124" s="3">
        <v>1</v>
      </c>
      <c r="F124">
        <v>1</v>
      </c>
      <c r="G124" s="3">
        <v>37</v>
      </c>
      <c r="H124" s="3">
        <v>5</v>
      </c>
      <c r="I124" s="3">
        <v>13</v>
      </c>
      <c r="J124" s="3">
        <v>2</v>
      </c>
      <c r="K124" s="3">
        <v>26</v>
      </c>
      <c r="L124" s="3">
        <v>1</v>
      </c>
      <c r="M124" s="3">
        <v>2</v>
      </c>
      <c r="N124" s="3">
        <v>2</v>
      </c>
      <c r="O124" s="3">
        <v>2</v>
      </c>
      <c r="P124" s="3">
        <v>2</v>
      </c>
      <c r="Q124" s="3">
        <v>0</v>
      </c>
      <c r="R124" s="3">
        <v>33470</v>
      </c>
    </row>
    <row r="125" spans="1:18" x14ac:dyDescent="0.25">
      <c r="A125" s="1">
        <v>60000121</v>
      </c>
      <c r="B125" s="3">
        <v>48</v>
      </c>
      <c r="C125" s="3">
        <v>1</v>
      </c>
      <c r="D125" s="3">
        <v>1</v>
      </c>
      <c r="E125" s="3">
        <v>3</v>
      </c>
      <c r="F125" s="3">
        <v>1</v>
      </c>
      <c r="G125" s="3">
        <v>20</v>
      </c>
      <c r="H125" s="3">
        <v>3</v>
      </c>
      <c r="I125" s="3">
        <v>12</v>
      </c>
      <c r="J125" s="3">
        <v>11</v>
      </c>
      <c r="K125" s="3">
        <v>6</v>
      </c>
      <c r="L125" s="3">
        <v>1</v>
      </c>
      <c r="M125" s="3">
        <v>2</v>
      </c>
      <c r="N125" s="3">
        <v>2</v>
      </c>
      <c r="O125" s="3">
        <v>2</v>
      </c>
      <c r="P125" s="3">
        <v>2</v>
      </c>
      <c r="Q125" s="3">
        <v>0</v>
      </c>
      <c r="R125" s="3">
        <v>35876</v>
      </c>
    </row>
    <row r="126" spans="1:18" x14ac:dyDescent="0.25">
      <c r="A126" s="1">
        <v>60000122</v>
      </c>
      <c r="B126" s="3">
        <v>62</v>
      </c>
      <c r="C126" s="3">
        <v>2</v>
      </c>
      <c r="D126" s="3">
        <v>2</v>
      </c>
      <c r="E126" s="3">
        <v>3</v>
      </c>
      <c r="F126">
        <v>1</v>
      </c>
      <c r="G126" s="3">
        <v>10</v>
      </c>
      <c r="H126" s="3">
        <v>1</v>
      </c>
      <c r="I126" s="3">
        <v>8</v>
      </c>
      <c r="J126" s="3">
        <v>6</v>
      </c>
      <c r="K126" s="3">
        <v>35</v>
      </c>
      <c r="L126" s="3">
        <v>1</v>
      </c>
      <c r="M126" s="3">
        <v>2</v>
      </c>
      <c r="N126" s="3">
        <v>2</v>
      </c>
      <c r="O126" s="3">
        <v>2</v>
      </c>
      <c r="P126" s="3">
        <v>2</v>
      </c>
      <c r="Q126" s="3">
        <v>0</v>
      </c>
      <c r="R126" s="3">
        <v>27806</v>
      </c>
    </row>
    <row r="127" spans="1:18" x14ac:dyDescent="0.25">
      <c r="A127" s="1">
        <v>60000123</v>
      </c>
      <c r="B127" s="3">
        <v>63</v>
      </c>
      <c r="C127" s="3">
        <v>2</v>
      </c>
      <c r="D127" s="3">
        <v>1</v>
      </c>
      <c r="E127" s="3">
        <v>5</v>
      </c>
      <c r="F127">
        <v>1</v>
      </c>
      <c r="G127" s="3">
        <v>21</v>
      </c>
      <c r="H127" s="3">
        <v>3</v>
      </c>
      <c r="I127" s="3">
        <v>15</v>
      </c>
      <c r="J127" s="3">
        <v>13</v>
      </c>
      <c r="K127" s="3">
        <v>19</v>
      </c>
      <c r="L127" s="3">
        <v>1</v>
      </c>
      <c r="M127" s="3">
        <v>2</v>
      </c>
      <c r="N127" s="3">
        <v>2</v>
      </c>
      <c r="O127" s="3">
        <v>2</v>
      </c>
      <c r="P127" s="3">
        <v>1</v>
      </c>
      <c r="Q127" s="3">
        <v>7</v>
      </c>
      <c r="R127" s="3">
        <v>63422</v>
      </c>
    </row>
    <row r="128" spans="1:18" x14ac:dyDescent="0.25">
      <c r="A128" s="1">
        <v>60000124</v>
      </c>
      <c r="B128" s="3">
        <v>40</v>
      </c>
      <c r="C128" s="3">
        <v>2</v>
      </c>
      <c r="D128" s="3">
        <v>1</v>
      </c>
      <c r="E128" s="3">
        <v>9</v>
      </c>
      <c r="F128">
        <v>1</v>
      </c>
      <c r="G128" s="3">
        <v>21</v>
      </c>
      <c r="H128" s="3">
        <v>3</v>
      </c>
      <c r="I128" s="3">
        <v>12</v>
      </c>
      <c r="J128" s="3">
        <v>5</v>
      </c>
      <c r="K128" s="3">
        <v>31</v>
      </c>
      <c r="L128" s="3">
        <v>1</v>
      </c>
      <c r="M128" s="3">
        <v>2</v>
      </c>
      <c r="N128" s="3">
        <v>2</v>
      </c>
      <c r="O128" s="3">
        <v>2</v>
      </c>
      <c r="P128" s="3">
        <v>1</v>
      </c>
      <c r="Q128" s="3">
        <v>4</v>
      </c>
      <c r="R128" s="3">
        <v>52615</v>
      </c>
    </row>
    <row r="129" spans="1:18" x14ac:dyDescent="0.25">
      <c r="A129" s="1">
        <v>60000125</v>
      </c>
      <c r="B129" s="3">
        <v>32</v>
      </c>
      <c r="C129" s="3">
        <v>2</v>
      </c>
      <c r="D129" s="3">
        <v>1</v>
      </c>
      <c r="E129" s="3">
        <v>11</v>
      </c>
      <c r="F129" s="3">
        <v>1</v>
      </c>
      <c r="G129" s="3">
        <v>35</v>
      </c>
      <c r="H129" s="3">
        <v>5</v>
      </c>
      <c r="I129" s="3">
        <v>15</v>
      </c>
      <c r="J129" s="3">
        <v>12</v>
      </c>
      <c r="K129" s="3">
        <v>1</v>
      </c>
      <c r="L129" s="3">
        <v>1</v>
      </c>
      <c r="M129" s="3">
        <v>2</v>
      </c>
      <c r="N129" s="3">
        <v>2</v>
      </c>
      <c r="O129" s="3">
        <v>2</v>
      </c>
      <c r="P129" s="3">
        <v>2</v>
      </c>
      <c r="Q129" s="3">
        <v>0</v>
      </c>
      <c r="R129" s="3">
        <v>77731</v>
      </c>
    </row>
    <row r="130" spans="1:18" x14ac:dyDescent="0.25">
      <c r="A130" s="1">
        <v>60000126</v>
      </c>
      <c r="B130" s="3">
        <v>54</v>
      </c>
      <c r="C130" s="3">
        <v>2</v>
      </c>
      <c r="D130" s="3">
        <v>2</v>
      </c>
      <c r="E130" s="3">
        <v>2</v>
      </c>
      <c r="F130">
        <v>1</v>
      </c>
      <c r="G130" s="3">
        <v>33</v>
      </c>
      <c r="H130" s="3">
        <v>5</v>
      </c>
      <c r="I130" s="3">
        <v>9</v>
      </c>
      <c r="J130" s="3">
        <v>2</v>
      </c>
      <c r="K130" s="3">
        <v>46</v>
      </c>
      <c r="L130" s="3">
        <v>1</v>
      </c>
      <c r="M130" s="3">
        <v>2</v>
      </c>
      <c r="N130" s="3">
        <v>2</v>
      </c>
      <c r="O130" s="3">
        <v>2</v>
      </c>
      <c r="P130" s="3">
        <v>2</v>
      </c>
      <c r="Q130" s="3">
        <v>0</v>
      </c>
      <c r="R130" s="3">
        <v>58121</v>
      </c>
    </row>
    <row r="131" spans="1:18" x14ac:dyDescent="0.25">
      <c r="A131" s="1">
        <v>60000127</v>
      </c>
      <c r="B131" s="3">
        <v>21</v>
      </c>
      <c r="C131" s="3">
        <v>2</v>
      </c>
      <c r="D131" s="3">
        <v>2</v>
      </c>
      <c r="E131" s="3">
        <v>2</v>
      </c>
      <c r="F131">
        <v>1</v>
      </c>
      <c r="G131" s="3">
        <v>23</v>
      </c>
      <c r="H131" s="3">
        <v>3</v>
      </c>
      <c r="I131" s="3">
        <v>7</v>
      </c>
      <c r="J131" s="3">
        <v>9</v>
      </c>
      <c r="K131" s="3">
        <v>32</v>
      </c>
      <c r="L131" s="3">
        <v>1</v>
      </c>
      <c r="M131" s="3">
        <v>2</v>
      </c>
      <c r="N131" s="3">
        <v>2</v>
      </c>
      <c r="O131" s="3">
        <v>2</v>
      </c>
      <c r="P131" s="3">
        <v>1</v>
      </c>
      <c r="Q131" s="3">
        <v>4</v>
      </c>
      <c r="R131" s="3">
        <v>48154</v>
      </c>
    </row>
    <row r="132" spans="1:18" x14ac:dyDescent="0.25">
      <c r="A132" s="1">
        <v>60000128</v>
      </c>
      <c r="B132" s="3">
        <v>33</v>
      </c>
      <c r="C132" s="3">
        <v>1</v>
      </c>
      <c r="D132" s="3">
        <v>1</v>
      </c>
      <c r="E132" s="3">
        <v>8</v>
      </c>
      <c r="F132">
        <v>1</v>
      </c>
      <c r="G132" s="3">
        <v>13</v>
      </c>
      <c r="H132" s="3">
        <v>2</v>
      </c>
      <c r="I132" s="3">
        <v>5</v>
      </c>
      <c r="J132" s="3">
        <v>10</v>
      </c>
      <c r="K132" s="3">
        <v>47</v>
      </c>
      <c r="L132" s="3">
        <v>1</v>
      </c>
      <c r="M132" s="3">
        <v>2</v>
      </c>
      <c r="N132" s="3">
        <v>2</v>
      </c>
      <c r="O132" s="3">
        <v>2</v>
      </c>
      <c r="P132" s="3">
        <v>1</v>
      </c>
      <c r="Q132" s="3">
        <v>4</v>
      </c>
      <c r="R132" s="3">
        <v>30044</v>
      </c>
    </row>
    <row r="133" spans="1:18" x14ac:dyDescent="0.25">
      <c r="A133" s="1">
        <v>60000129</v>
      </c>
      <c r="B133" s="3">
        <v>41</v>
      </c>
      <c r="C133" s="3">
        <v>2</v>
      </c>
      <c r="D133" s="3">
        <v>2</v>
      </c>
      <c r="E133" s="3">
        <v>6</v>
      </c>
      <c r="F133" s="3">
        <v>1</v>
      </c>
      <c r="G133" s="3">
        <v>12</v>
      </c>
      <c r="H133" s="3">
        <v>2</v>
      </c>
      <c r="I133" s="3">
        <v>4</v>
      </c>
      <c r="J133" s="3">
        <v>1</v>
      </c>
      <c r="K133" s="3">
        <v>4</v>
      </c>
      <c r="L133" s="3">
        <v>1</v>
      </c>
      <c r="M133" s="3">
        <v>2</v>
      </c>
      <c r="N133" s="3">
        <v>2</v>
      </c>
      <c r="O133" s="3">
        <v>2</v>
      </c>
      <c r="P133" s="3">
        <v>1</v>
      </c>
      <c r="Q133" s="3">
        <v>1</v>
      </c>
      <c r="R133" s="3">
        <v>70847</v>
      </c>
    </row>
    <row r="134" spans="1:18" x14ac:dyDescent="0.25">
      <c r="A134" s="1">
        <v>60000130</v>
      </c>
      <c r="B134" s="3">
        <v>62</v>
      </c>
      <c r="C134" s="3">
        <v>1</v>
      </c>
      <c r="D134" s="3">
        <v>2</v>
      </c>
      <c r="E134" s="3">
        <v>8</v>
      </c>
      <c r="F134">
        <v>1</v>
      </c>
      <c r="G134" s="3">
        <v>15</v>
      </c>
      <c r="H134" s="3">
        <v>2</v>
      </c>
      <c r="I134" s="3">
        <v>16</v>
      </c>
      <c r="J134" s="3">
        <v>2</v>
      </c>
      <c r="K134" s="3">
        <v>18</v>
      </c>
      <c r="L134" s="3">
        <v>1</v>
      </c>
      <c r="M134" s="3">
        <v>2</v>
      </c>
      <c r="N134" s="3">
        <v>2</v>
      </c>
      <c r="O134" s="3">
        <v>2</v>
      </c>
      <c r="P134" s="3">
        <v>1</v>
      </c>
      <c r="Q134" s="3">
        <v>1</v>
      </c>
      <c r="R134" s="3">
        <v>73043</v>
      </c>
    </row>
    <row r="135" spans="1:18" x14ac:dyDescent="0.25">
      <c r="A135" s="1">
        <v>60000131</v>
      </c>
      <c r="B135" s="3">
        <v>55</v>
      </c>
      <c r="C135" s="3">
        <v>2</v>
      </c>
      <c r="D135" s="3">
        <v>1</v>
      </c>
      <c r="E135" s="3">
        <v>5</v>
      </c>
      <c r="F135">
        <v>1</v>
      </c>
      <c r="G135" s="3">
        <v>21</v>
      </c>
      <c r="H135" s="3">
        <v>3</v>
      </c>
      <c r="I135" s="3">
        <v>9</v>
      </c>
      <c r="J135" s="3">
        <v>7</v>
      </c>
      <c r="K135" s="3">
        <v>17</v>
      </c>
      <c r="L135" s="3">
        <v>1</v>
      </c>
      <c r="M135" s="3">
        <v>2</v>
      </c>
      <c r="N135" s="3">
        <v>2</v>
      </c>
      <c r="O135" s="3">
        <v>2</v>
      </c>
      <c r="P135" s="3">
        <v>2</v>
      </c>
      <c r="Q135" s="3">
        <v>0</v>
      </c>
      <c r="R135" s="3">
        <v>31925</v>
      </c>
    </row>
    <row r="136" spans="1:18" x14ac:dyDescent="0.25">
      <c r="A136" s="1">
        <v>60000132</v>
      </c>
      <c r="B136" s="3">
        <v>60</v>
      </c>
      <c r="C136" s="3">
        <v>2</v>
      </c>
      <c r="D136" s="3">
        <v>1</v>
      </c>
      <c r="E136" s="3">
        <v>11</v>
      </c>
      <c r="F136">
        <v>1</v>
      </c>
      <c r="G136" s="3">
        <v>11</v>
      </c>
      <c r="H136" s="3">
        <v>1</v>
      </c>
      <c r="I136" s="3">
        <v>2</v>
      </c>
      <c r="J136" s="3">
        <v>8</v>
      </c>
      <c r="K136" s="3">
        <v>27</v>
      </c>
      <c r="L136" s="3">
        <v>1</v>
      </c>
      <c r="M136" s="3">
        <v>2</v>
      </c>
      <c r="N136" s="3">
        <v>2</v>
      </c>
      <c r="O136" s="3">
        <v>2</v>
      </c>
      <c r="P136" s="3">
        <v>2</v>
      </c>
      <c r="Q136" s="3">
        <v>0</v>
      </c>
      <c r="R136" s="3">
        <v>75752</v>
      </c>
    </row>
    <row r="137" spans="1:18" x14ac:dyDescent="0.25">
      <c r="A137" s="1">
        <v>60000133</v>
      </c>
      <c r="B137" s="3">
        <v>43</v>
      </c>
      <c r="C137" s="3">
        <v>2</v>
      </c>
      <c r="D137" s="3">
        <v>1</v>
      </c>
      <c r="E137" s="3">
        <v>6</v>
      </c>
      <c r="F137" s="3">
        <v>1</v>
      </c>
      <c r="G137" s="3">
        <v>21</v>
      </c>
      <c r="H137" s="3">
        <v>3</v>
      </c>
      <c r="I137" s="3">
        <v>15</v>
      </c>
      <c r="J137" s="3">
        <v>4</v>
      </c>
      <c r="K137" s="3">
        <v>2</v>
      </c>
      <c r="L137" s="3">
        <v>1</v>
      </c>
      <c r="M137" s="3">
        <v>2</v>
      </c>
      <c r="N137" s="3">
        <v>2</v>
      </c>
      <c r="O137" s="3">
        <v>2</v>
      </c>
      <c r="P137" s="3">
        <v>2</v>
      </c>
      <c r="Q137" s="3">
        <v>0</v>
      </c>
      <c r="R137" s="3">
        <v>24793</v>
      </c>
    </row>
    <row r="138" spans="1:18" x14ac:dyDescent="0.25">
      <c r="A138" s="1">
        <v>60000134</v>
      </c>
      <c r="B138" s="3">
        <v>26</v>
      </c>
      <c r="C138" s="3">
        <v>1</v>
      </c>
      <c r="D138" s="3">
        <v>2</v>
      </c>
      <c r="E138" s="3">
        <v>9</v>
      </c>
      <c r="F138">
        <v>1</v>
      </c>
      <c r="G138" s="3">
        <v>29</v>
      </c>
      <c r="H138" s="3">
        <v>4</v>
      </c>
      <c r="I138" s="3">
        <v>17</v>
      </c>
      <c r="J138" s="3">
        <v>12</v>
      </c>
      <c r="K138" s="3">
        <v>13</v>
      </c>
      <c r="L138" s="3">
        <v>1</v>
      </c>
      <c r="M138" s="3">
        <v>2</v>
      </c>
      <c r="N138" s="3">
        <v>2</v>
      </c>
      <c r="O138" s="3">
        <v>2</v>
      </c>
      <c r="P138" s="3">
        <v>1</v>
      </c>
      <c r="Q138" s="3">
        <v>0</v>
      </c>
      <c r="R138" s="3">
        <v>58103</v>
      </c>
    </row>
    <row r="139" spans="1:18" x14ac:dyDescent="0.25">
      <c r="A139" s="1">
        <v>60000135</v>
      </c>
      <c r="B139" s="3">
        <v>60</v>
      </c>
      <c r="C139" s="3">
        <v>1</v>
      </c>
      <c r="D139" s="3">
        <v>2</v>
      </c>
      <c r="E139" s="3">
        <v>3</v>
      </c>
      <c r="F139">
        <v>1</v>
      </c>
      <c r="G139" s="3">
        <v>33</v>
      </c>
      <c r="H139" s="3">
        <v>5</v>
      </c>
      <c r="I139" s="3">
        <v>12</v>
      </c>
      <c r="J139" s="3">
        <v>13</v>
      </c>
      <c r="K139" s="3">
        <v>16</v>
      </c>
      <c r="L139" s="3">
        <v>1</v>
      </c>
      <c r="M139" s="3">
        <v>2</v>
      </c>
      <c r="N139" s="3">
        <v>2</v>
      </c>
      <c r="O139" s="3">
        <v>2</v>
      </c>
      <c r="P139" s="3">
        <v>1</v>
      </c>
      <c r="Q139" s="3">
        <v>1</v>
      </c>
      <c r="R139" s="3">
        <v>46478</v>
      </c>
    </row>
    <row r="140" spans="1:18" x14ac:dyDescent="0.25">
      <c r="A140" s="1">
        <v>60000136</v>
      </c>
      <c r="B140" s="3">
        <v>34</v>
      </c>
      <c r="C140" s="3">
        <v>1</v>
      </c>
      <c r="D140" s="3">
        <v>1</v>
      </c>
      <c r="E140" s="3">
        <v>10</v>
      </c>
      <c r="F140">
        <v>1</v>
      </c>
      <c r="G140" s="3">
        <v>30</v>
      </c>
      <c r="H140" s="3">
        <v>4</v>
      </c>
      <c r="I140" s="3">
        <v>12</v>
      </c>
      <c r="J140" s="3">
        <v>9</v>
      </c>
      <c r="K140" s="3">
        <v>17</v>
      </c>
      <c r="L140" s="3">
        <v>1</v>
      </c>
      <c r="M140" s="3">
        <v>2</v>
      </c>
      <c r="N140" s="3">
        <v>2</v>
      </c>
      <c r="O140" s="3">
        <v>2</v>
      </c>
      <c r="P140" s="3">
        <v>1</v>
      </c>
      <c r="Q140" s="3">
        <v>3</v>
      </c>
      <c r="R140" s="3">
        <v>83401</v>
      </c>
    </row>
    <row r="141" spans="1:18" x14ac:dyDescent="0.25">
      <c r="A141" s="1">
        <v>60000137</v>
      </c>
      <c r="B141" s="3">
        <v>55</v>
      </c>
      <c r="C141" s="3">
        <v>1</v>
      </c>
      <c r="D141" s="3">
        <v>1</v>
      </c>
      <c r="E141" s="3">
        <v>2</v>
      </c>
      <c r="F141" s="3">
        <v>1</v>
      </c>
      <c r="G141" s="3">
        <v>25</v>
      </c>
      <c r="H141" s="3">
        <v>4</v>
      </c>
      <c r="I141" s="3">
        <v>4</v>
      </c>
      <c r="J141" s="3">
        <v>12</v>
      </c>
      <c r="K141" s="3">
        <v>28</v>
      </c>
      <c r="L141" s="3">
        <v>1</v>
      </c>
      <c r="M141" s="3">
        <v>2</v>
      </c>
      <c r="N141" s="3">
        <v>2</v>
      </c>
      <c r="O141" s="3">
        <v>2</v>
      </c>
      <c r="P141" s="3">
        <v>2</v>
      </c>
      <c r="Q141" s="3">
        <v>0</v>
      </c>
      <c r="R141" s="3">
        <v>61812</v>
      </c>
    </row>
    <row r="142" spans="1:18" x14ac:dyDescent="0.25">
      <c r="A142" s="1">
        <v>60000138</v>
      </c>
      <c r="B142" s="3">
        <v>26</v>
      </c>
      <c r="C142" s="3">
        <v>1</v>
      </c>
      <c r="D142" s="3">
        <v>1</v>
      </c>
      <c r="E142" s="3">
        <v>9</v>
      </c>
      <c r="F142">
        <v>1</v>
      </c>
      <c r="G142" s="3">
        <v>33</v>
      </c>
      <c r="H142" s="3">
        <v>5</v>
      </c>
      <c r="I142" s="3">
        <v>6</v>
      </c>
      <c r="J142" s="3">
        <v>11</v>
      </c>
      <c r="K142" s="3">
        <v>21</v>
      </c>
      <c r="L142" s="3">
        <v>1</v>
      </c>
      <c r="M142" s="3">
        <v>2</v>
      </c>
      <c r="N142" s="3">
        <v>2</v>
      </c>
      <c r="O142" s="3">
        <v>2</v>
      </c>
      <c r="P142" s="3">
        <v>2</v>
      </c>
      <c r="Q142" s="3">
        <v>0</v>
      </c>
      <c r="R142" s="3">
        <v>58973</v>
      </c>
    </row>
    <row r="143" spans="1:18" x14ac:dyDescent="0.25">
      <c r="A143" s="1">
        <v>60000139</v>
      </c>
      <c r="B143" s="3">
        <v>31</v>
      </c>
      <c r="C143" s="3">
        <v>1</v>
      </c>
      <c r="D143" s="3">
        <v>2</v>
      </c>
      <c r="E143" s="3">
        <v>12</v>
      </c>
      <c r="F143">
        <v>1</v>
      </c>
      <c r="G143" s="3">
        <v>23</v>
      </c>
      <c r="H143" s="3">
        <v>3</v>
      </c>
      <c r="I143" s="3">
        <v>3</v>
      </c>
      <c r="J143" s="3">
        <v>5</v>
      </c>
      <c r="K143" s="3">
        <v>25</v>
      </c>
      <c r="L143" s="3">
        <v>1</v>
      </c>
      <c r="M143" s="3">
        <v>2</v>
      </c>
      <c r="N143" s="3">
        <v>2</v>
      </c>
      <c r="O143" s="3">
        <v>2</v>
      </c>
      <c r="P143" s="3">
        <v>2</v>
      </c>
      <c r="Q143" s="3">
        <v>0</v>
      </c>
      <c r="R143" s="3">
        <v>36477</v>
      </c>
    </row>
    <row r="144" spans="1:18" x14ac:dyDescent="0.25">
      <c r="A144" s="1">
        <v>60000140</v>
      </c>
      <c r="B144" s="3">
        <v>43</v>
      </c>
      <c r="C144" s="3">
        <v>2</v>
      </c>
      <c r="D144" s="3">
        <v>2</v>
      </c>
      <c r="E144" s="3">
        <v>3</v>
      </c>
      <c r="F144">
        <v>1</v>
      </c>
      <c r="G144" s="3">
        <v>33</v>
      </c>
      <c r="H144" s="3">
        <v>5</v>
      </c>
      <c r="I144" s="3">
        <v>16</v>
      </c>
      <c r="J144" s="3">
        <v>2</v>
      </c>
      <c r="K144" s="3">
        <v>48</v>
      </c>
      <c r="L144" s="3">
        <v>1</v>
      </c>
      <c r="M144" s="3">
        <v>2</v>
      </c>
      <c r="N144" s="3">
        <v>2</v>
      </c>
      <c r="O144" s="3">
        <v>2</v>
      </c>
      <c r="P144" s="3">
        <v>1</v>
      </c>
      <c r="Q144" s="3">
        <v>4</v>
      </c>
      <c r="R144" s="3">
        <v>33098</v>
      </c>
    </row>
    <row r="145" spans="1:18" x14ac:dyDescent="0.25">
      <c r="A145" s="1">
        <v>60000141</v>
      </c>
      <c r="B145" s="3">
        <v>55</v>
      </c>
      <c r="C145" s="3">
        <v>1</v>
      </c>
      <c r="D145" s="3">
        <v>2</v>
      </c>
      <c r="E145" s="3">
        <v>6</v>
      </c>
      <c r="F145" s="3">
        <v>1</v>
      </c>
      <c r="G145" s="3">
        <v>12</v>
      </c>
      <c r="H145" s="3">
        <v>2</v>
      </c>
      <c r="I145" s="3">
        <v>6</v>
      </c>
      <c r="J145" s="3">
        <v>8</v>
      </c>
      <c r="K145" s="3">
        <v>35</v>
      </c>
      <c r="L145" s="3">
        <v>1</v>
      </c>
      <c r="M145" s="3">
        <v>2</v>
      </c>
      <c r="N145" s="3">
        <v>2</v>
      </c>
      <c r="O145" s="3">
        <v>2</v>
      </c>
      <c r="P145" s="3">
        <v>1</v>
      </c>
      <c r="Q145" s="3">
        <v>0</v>
      </c>
      <c r="R145" s="3">
        <v>71611</v>
      </c>
    </row>
    <row r="146" spans="1:18" x14ac:dyDescent="0.25">
      <c r="A146" s="1">
        <v>60000142</v>
      </c>
      <c r="B146" s="3">
        <v>22</v>
      </c>
      <c r="C146" s="3">
        <v>2</v>
      </c>
      <c r="D146" s="3">
        <v>2</v>
      </c>
      <c r="E146" s="3">
        <v>11</v>
      </c>
      <c r="F146">
        <v>1</v>
      </c>
      <c r="G146" s="3">
        <v>38</v>
      </c>
      <c r="H146" s="3">
        <v>5</v>
      </c>
      <c r="I146" s="3">
        <v>2</v>
      </c>
      <c r="J146" s="3">
        <v>8</v>
      </c>
      <c r="K146" s="3">
        <v>10</v>
      </c>
      <c r="L146" s="3">
        <v>1</v>
      </c>
      <c r="M146" s="3">
        <v>2</v>
      </c>
      <c r="N146" s="3">
        <v>2</v>
      </c>
      <c r="O146" s="3">
        <v>2</v>
      </c>
      <c r="P146" s="3">
        <v>2</v>
      </c>
      <c r="Q146" s="3">
        <v>0</v>
      </c>
      <c r="R146" s="3">
        <v>29276</v>
      </c>
    </row>
    <row r="147" spans="1:18" x14ac:dyDescent="0.25">
      <c r="A147" s="1">
        <v>60000143</v>
      </c>
      <c r="B147" s="3">
        <v>44</v>
      </c>
      <c r="C147" s="3">
        <v>1</v>
      </c>
      <c r="D147" s="3">
        <v>2</v>
      </c>
      <c r="E147" s="3">
        <v>11</v>
      </c>
      <c r="F147">
        <v>1</v>
      </c>
      <c r="G147" s="3">
        <v>35</v>
      </c>
      <c r="H147" s="3">
        <v>5</v>
      </c>
      <c r="I147" s="3">
        <v>1</v>
      </c>
      <c r="J147" s="3">
        <v>9</v>
      </c>
      <c r="K147" s="3">
        <v>30</v>
      </c>
      <c r="L147" s="3">
        <v>1</v>
      </c>
      <c r="M147" s="3">
        <v>2</v>
      </c>
      <c r="N147" s="3">
        <v>2</v>
      </c>
      <c r="O147" s="3">
        <v>2</v>
      </c>
      <c r="P147" s="3">
        <v>1</v>
      </c>
      <c r="Q147" s="3">
        <v>2</v>
      </c>
      <c r="R147" s="3">
        <v>26313</v>
      </c>
    </row>
    <row r="148" spans="1:18" x14ac:dyDescent="0.25">
      <c r="A148" s="1">
        <v>60000144</v>
      </c>
      <c r="B148" s="3">
        <v>51</v>
      </c>
      <c r="C148" s="3">
        <v>2</v>
      </c>
      <c r="D148" s="3">
        <v>1</v>
      </c>
      <c r="E148" s="3">
        <v>4</v>
      </c>
      <c r="F148">
        <v>1</v>
      </c>
      <c r="G148" s="3">
        <v>15</v>
      </c>
      <c r="H148" s="3">
        <v>2</v>
      </c>
      <c r="I148" s="3">
        <v>9</v>
      </c>
      <c r="J148" s="3">
        <v>7</v>
      </c>
      <c r="K148" s="3">
        <v>45</v>
      </c>
      <c r="L148" s="3">
        <v>1</v>
      </c>
      <c r="M148" s="3">
        <v>2</v>
      </c>
      <c r="N148" s="3">
        <v>2</v>
      </c>
      <c r="O148" s="3">
        <v>2</v>
      </c>
      <c r="P148" s="3">
        <v>2</v>
      </c>
      <c r="Q148" s="3">
        <v>0</v>
      </c>
      <c r="R148" s="3">
        <v>35278</v>
      </c>
    </row>
    <row r="149" spans="1:18" x14ac:dyDescent="0.25">
      <c r="A149" s="1">
        <v>60000145</v>
      </c>
      <c r="B149" s="3">
        <v>62</v>
      </c>
      <c r="C149" s="3">
        <v>2</v>
      </c>
      <c r="D149" s="3">
        <v>1</v>
      </c>
      <c r="E149" s="3">
        <v>6</v>
      </c>
      <c r="F149" s="3">
        <v>1</v>
      </c>
      <c r="G149" s="3">
        <v>16</v>
      </c>
      <c r="H149" s="3">
        <v>2</v>
      </c>
      <c r="I149" s="3">
        <v>2</v>
      </c>
      <c r="J149" s="3">
        <v>13</v>
      </c>
      <c r="K149" s="3">
        <v>30</v>
      </c>
      <c r="L149" s="3">
        <v>1</v>
      </c>
      <c r="M149" s="3">
        <v>2</v>
      </c>
      <c r="N149" s="3">
        <v>2</v>
      </c>
      <c r="O149" s="3">
        <v>2</v>
      </c>
      <c r="P149" s="3">
        <v>1</v>
      </c>
      <c r="Q149" s="3">
        <v>2</v>
      </c>
      <c r="R149" s="3">
        <v>72189</v>
      </c>
    </row>
    <row r="150" spans="1:18" x14ac:dyDescent="0.25">
      <c r="A150" s="1">
        <v>60000146</v>
      </c>
      <c r="B150" s="3">
        <v>46</v>
      </c>
      <c r="C150" s="3">
        <v>1</v>
      </c>
      <c r="D150" s="3">
        <v>2</v>
      </c>
      <c r="E150" s="3">
        <v>6</v>
      </c>
      <c r="F150">
        <v>1</v>
      </c>
      <c r="G150" s="3">
        <v>19</v>
      </c>
      <c r="H150" s="3">
        <v>3</v>
      </c>
      <c r="I150" s="3">
        <v>8</v>
      </c>
      <c r="J150" s="3">
        <v>11</v>
      </c>
      <c r="K150" s="3">
        <v>37</v>
      </c>
      <c r="L150" s="3">
        <v>1</v>
      </c>
      <c r="M150" s="3">
        <v>2</v>
      </c>
      <c r="N150" s="3">
        <v>2</v>
      </c>
      <c r="O150" s="3">
        <v>2</v>
      </c>
      <c r="P150" s="3">
        <v>2</v>
      </c>
      <c r="Q150" s="3">
        <v>0</v>
      </c>
      <c r="R150" s="3">
        <v>47169</v>
      </c>
    </row>
    <row r="151" spans="1:18" x14ac:dyDescent="0.25">
      <c r="A151" s="1">
        <v>60000147</v>
      </c>
      <c r="B151" s="3">
        <v>22</v>
      </c>
      <c r="C151" s="3">
        <v>2</v>
      </c>
      <c r="D151" s="3">
        <v>1</v>
      </c>
      <c r="E151" s="3">
        <v>1</v>
      </c>
      <c r="F151">
        <v>1</v>
      </c>
      <c r="G151" s="3">
        <v>37</v>
      </c>
      <c r="H151" s="3">
        <v>5</v>
      </c>
      <c r="I151" s="3">
        <v>7</v>
      </c>
      <c r="J151" s="3">
        <v>8</v>
      </c>
      <c r="K151" s="3">
        <v>38</v>
      </c>
      <c r="L151" s="3">
        <v>1</v>
      </c>
      <c r="M151" s="3">
        <v>2</v>
      </c>
      <c r="N151" s="3">
        <v>2</v>
      </c>
      <c r="O151" s="3">
        <v>2</v>
      </c>
      <c r="P151" s="3">
        <v>2</v>
      </c>
      <c r="Q151" s="3">
        <v>0</v>
      </c>
      <c r="R151" s="3">
        <v>33136</v>
      </c>
    </row>
    <row r="152" spans="1:18" x14ac:dyDescent="0.25">
      <c r="A152" s="1">
        <v>60000148</v>
      </c>
      <c r="B152" s="3">
        <v>47</v>
      </c>
      <c r="C152" s="3">
        <v>1</v>
      </c>
      <c r="D152" s="3">
        <v>2</v>
      </c>
      <c r="E152" s="3">
        <v>6</v>
      </c>
      <c r="F152">
        <v>1</v>
      </c>
      <c r="G152" s="3">
        <v>18</v>
      </c>
      <c r="H152" s="3">
        <v>2</v>
      </c>
      <c r="I152" s="3">
        <v>9</v>
      </c>
      <c r="J152" s="3">
        <v>6</v>
      </c>
      <c r="K152" s="3">
        <v>1</v>
      </c>
      <c r="L152" s="3">
        <v>1</v>
      </c>
      <c r="M152" s="3">
        <v>2</v>
      </c>
      <c r="N152" s="3">
        <v>2</v>
      </c>
      <c r="O152" s="3">
        <v>2</v>
      </c>
      <c r="P152" s="3">
        <v>1</v>
      </c>
      <c r="Q152" s="3">
        <v>7</v>
      </c>
      <c r="R152" s="3">
        <v>60885</v>
      </c>
    </row>
    <row r="153" spans="1:18" x14ac:dyDescent="0.25">
      <c r="A153" s="1">
        <v>60000149</v>
      </c>
      <c r="B153" s="3">
        <v>63</v>
      </c>
      <c r="C153" s="3">
        <v>1</v>
      </c>
      <c r="D153" s="3">
        <v>1</v>
      </c>
      <c r="E153" s="3">
        <v>5</v>
      </c>
      <c r="F153" s="3">
        <v>1</v>
      </c>
      <c r="G153" s="3">
        <v>20</v>
      </c>
      <c r="H153" s="3">
        <v>3</v>
      </c>
      <c r="I153" s="3">
        <v>15</v>
      </c>
      <c r="J153" s="3">
        <v>7</v>
      </c>
      <c r="K153" s="3">
        <v>38</v>
      </c>
      <c r="L153" s="3">
        <v>1</v>
      </c>
      <c r="M153" s="3">
        <v>2</v>
      </c>
      <c r="N153" s="3">
        <v>2</v>
      </c>
      <c r="O153" s="3">
        <v>2</v>
      </c>
      <c r="P153" s="3">
        <v>1</v>
      </c>
      <c r="Q153" s="3">
        <v>2</v>
      </c>
      <c r="R153" s="3">
        <v>74807</v>
      </c>
    </row>
    <row r="154" spans="1:18" x14ac:dyDescent="0.25">
      <c r="A154" s="1">
        <v>60000150</v>
      </c>
      <c r="B154" s="3">
        <v>52</v>
      </c>
      <c r="C154" s="3">
        <v>2</v>
      </c>
      <c r="D154" s="3">
        <v>2</v>
      </c>
      <c r="E154" s="3">
        <v>6</v>
      </c>
      <c r="F154">
        <v>1</v>
      </c>
      <c r="G154" s="3">
        <v>10</v>
      </c>
      <c r="H154" s="3">
        <v>1</v>
      </c>
      <c r="I154" s="3">
        <v>2</v>
      </c>
      <c r="J154" s="3">
        <v>2</v>
      </c>
      <c r="K154" s="3">
        <v>41</v>
      </c>
      <c r="L154" s="3">
        <v>1</v>
      </c>
      <c r="M154" s="3">
        <v>2</v>
      </c>
      <c r="N154" s="3">
        <v>2</v>
      </c>
      <c r="O154" s="3">
        <v>2</v>
      </c>
      <c r="P154" s="3">
        <v>1</v>
      </c>
      <c r="Q154" s="3">
        <v>5</v>
      </c>
      <c r="R154" s="3">
        <v>60944</v>
      </c>
    </row>
    <row r="155" spans="1:18" x14ac:dyDescent="0.25">
      <c r="A155" s="1">
        <v>60000151</v>
      </c>
      <c r="B155" s="3">
        <v>31</v>
      </c>
      <c r="C155" s="3">
        <v>1</v>
      </c>
      <c r="D155" s="3">
        <v>1</v>
      </c>
      <c r="E155" s="3">
        <v>3</v>
      </c>
      <c r="F155">
        <v>1</v>
      </c>
      <c r="G155" s="3">
        <v>23</v>
      </c>
      <c r="H155" s="3">
        <v>3</v>
      </c>
      <c r="I155" s="3">
        <v>8</v>
      </c>
      <c r="J155" s="3">
        <v>8</v>
      </c>
      <c r="K155" s="3">
        <v>12</v>
      </c>
      <c r="L155" s="3">
        <v>1</v>
      </c>
      <c r="M155" s="3">
        <v>2</v>
      </c>
      <c r="N155" s="3">
        <v>2</v>
      </c>
      <c r="O155" s="3">
        <v>2</v>
      </c>
      <c r="P155" s="3">
        <v>2</v>
      </c>
      <c r="Q155" s="3">
        <v>0</v>
      </c>
      <c r="R155" s="3">
        <v>58918</v>
      </c>
    </row>
    <row r="156" spans="1:18" x14ac:dyDescent="0.25">
      <c r="A156" s="1">
        <v>60000152</v>
      </c>
      <c r="B156" s="3">
        <v>24</v>
      </c>
      <c r="C156" s="3">
        <v>1</v>
      </c>
      <c r="D156" s="3">
        <v>1</v>
      </c>
      <c r="E156" s="3">
        <v>3</v>
      </c>
      <c r="F156">
        <v>1</v>
      </c>
      <c r="G156" s="3">
        <v>35</v>
      </c>
      <c r="H156" s="3">
        <v>5</v>
      </c>
      <c r="I156" s="3">
        <v>17</v>
      </c>
      <c r="J156" s="3">
        <v>3</v>
      </c>
      <c r="K156" s="3">
        <v>26</v>
      </c>
      <c r="L156" s="3">
        <v>1</v>
      </c>
      <c r="M156" s="3">
        <v>2</v>
      </c>
      <c r="N156" s="3">
        <v>2</v>
      </c>
      <c r="O156" s="3">
        <v>2</v>
      </c>
      <c r="P156" s="3">
        <v>2</v>
      </c>
      <c r="Q156" s="3">
        <v>0</v>
      </c>
      <c r="R156" s="3">
        <v>37923</v>
      </c>
    </row>
    <row r="157" spans="1:18" x14ac:dyDescent="0.25">
      <c r="A157" s="1">
        <v>60000153</v>
      </c>
      <c r="B157" s="3">
        <v>38</v>
      </c>
      <c r="C157" s="3">
        <v>2</v>
      </c>
      <c r="D157" s="3">
        <v>1</v>
      </c>
      <c r="E157" s="3">
        <v>2</v>
      </c>
      <c r="F157" s="3">
        <v>1</v>
      </c>
      <c r="G157" s="3">
        <v>36</v>
      </c>
      <c r="H157" s="3">
        <v>5</v>
      </c>
      <c r="I157" s="3">
        <v>11</v>
      </c>
      <c r="J157" s="3">
        <v>1</v>
      </c>
      <c r="K157" s="3">
        <v>42</v>
      </c>
      <c r="L157" s="3">
        <v>1</v>
      </c>
      <c r="M157" s="3">
        <v>2</v>
      </c>
      <c r="N157" s="3">
        <v>2</v>
      </c>
      <c r="O157" s="3">
        <v>2</v>
      </c>
      <c r="P157" s="3">
        <v>2</v>
      </c>
      <c r="Q157" s="3">
        <v>0</v>
      </c>
      <c r="R157" s="3">
        <v>75896</v>
      </c>
    </row>
    <row r="158" spans="1:18" x14ac:dyDescent="0.25">
      <c r="A158" s="1">
        <v>60000154</v>
      </c>
      <c r="B158" s="3">
        <v>35</v>
      </c>
      <c r="C158" s="3">
        <v>2</v>
      </c>
      <c r="D158" s="3">
        <v>1</v>
      </c>
      <c r="E158" s="3">
        <v>2</v>
      </c>
      <c r="F158">
        <v>1</v>
      </c>
      <c r="G158" s="3">
        <v>16</v>
      </c>
      <c r="H158" s="3">
        <v>2</v>
      </c>
      <c r="I158" s="3">
        <v>13</v>
      </c>
      <c r="J158" s="3">
        <v>1</v>
      </c>
      <c r="K158" s="3">
        <v>33</v>
      </c>
      <c r="L158" s="3">
        <v>1</v>
      </c>
      <c r="M158" s="3">
        <v>2</v>
      </c>
      <c r="N158" s="3">
        <v>2</v>
      </c>
      <c r="O158" s="3">
        <v>2</v>
      </c>
      <c r="P158" s="3">
        <v>2</v>
      </c>
      <c r="Q158" s="3">
        <v>0</v>
      </c>
      <c r="R158" s="3">
        <v>39248</v>
      </c>
    </row>
    <row r="159" spans="1:18" x14ac:dyDescent="0.25">
      <c r="A159" s="1">
        <v>60000155</v>
      </c>
      <c r="B159" s="3">
        <v>58</v>
      </c>
      <c r="C159" s="3">
        <v>2</v>
      </c>
      <c r="D159" s="3">
        <v>2</v>
      </c>
      <c r="E159" s="3">
        <v>8</v>
      </c>
      <c r="F159">
        <v>1</v>
      </c>
      <c r="G159" s="3">
        <v>32</v>
      </c>
      <c r="H159" s="3">
        <v>5</v>
      </c>
      <c r="I159" s="3">
        <v>7</v>
      </c>
      <c r="J159" s="3">
        <v>11</v>
      </c>
      <c r="K159" s="3">
        <v>43</v>
      </c>
      <c r="L159" s="3">
        <v>1</v>
      </c>
      <c r="M159" s="3">
        <v>2</v>
      </c>
      <c r="N159" s="3">
        <v>2</v>
      </c>
      <c r="O159" s="3">
        <v>2</v>
      </c>
      <c r="P159" s="3">
        <v>1</v>
      </c>
      <c r="Q159" s="3">
        <v>2</v>
      </c>
      <c r="R159" s="3">
        <v>61793</v>
      </c>
    </row>
    <row r="160" spans="1:18" x14ac:dyDescent="0.25">
      <c r="A160" s="1">
        <v>60000156</v>
      </c>
      <c r="B160" s="3">
        <v>43</v>
      </c>
      <c r="C160" s="3">
        <v>2</v>
      </c>
      <c r="D160" s="3">
        <v>2</v>
      </c>
      <c r="E160" s="3">
        <v>5</v>
      </c>
      <c r="F160">
        <v>1</v>
      </c>
      <c r="G160" s="3">
        <v>35</v>
      </c>
      <c r="H160" s="3">
        <v>5</v>
      </c>
      <c r="I160" s="3">
        <v>11</v>
      </c>
      <c r="J160" s="3">
        <v>10</v>
      </c>
      <c r="K160" s="3">
        <v>40</v>
      </c>
      <c r="L160" s="3">
        <v>1</v>
      </c>
      <c r="M160" s="3">
        <v>2</v>
      </c>
      <c r="N160" s="3">
        <v>2</v>
      </c>
      <c r="O160" s="3">
        <v>2</v>
      </c>
      <c r="P160" s="3">
        <v>2</v>
      </c>
      <c r="Q160" s="3">
        <v>0</v>
      </c>
      <c r="R160" s="3">
        <v>84062</v>
      </c>
    </row>
    <row r="161" spans="1:18" x14ac:dyDescent="0.25">
      <c r="A161" s="1">
        <v>60000157</v>
      </c>
      <c r="B161" s="3">
        <v>36</v>
      </c>
      <c r="C161" s="3">
        <v>2</v>
      </c>
      <c r="D161" s="3">
        <v>2</v>
      </c>
      <c r="E161" s="3">
        <v>2</v>
      </c>
      <c r="F161" s="3">
        <v>1</v>
      </c>
      <c r="G161" s="3">
        <v>11</v>
      </c>
      <c r="H161" s="3">
        <v>1</v>
      </c>
      <c r="I161" s="3">
        <v>4</v>
      </c>
      <c r="J161" s="3">
        <v>11</v>
      </c>
      <c r="K161" s="3">
        <v>34</v>
      </c>
      <c r="L161" s="3">
        <v>1</v>
      </c>
      <c r="M161" s="3">
        <v>2</v>
      </c>
      <c r="N161" s="3">
        <v>2</v>
      </c>
      <c r="O161" s="3">
        <v>2</v>
      </c>
      <c r="P161" s="3">
        <v>1</v>
      </c>
      <c r="Q161" s="3">
        <v>6</v>
      </c>
      <c r="R161" s="3">
        <v>50759</v>
      </c>
    </row>
    <row r="162" spans="1:18" x14ac:dyDescent="0.25">
      <c r="A162" s="1">
        <v>60000158</v>
      </c>
      <c r="B162" s="3">
        <v>35</v>
      </c>
      <c r="C162" s="3">
        <v>2</v>
      </c>
      <c r="D162" s="3">
        <v>1</v>
      </c>
      <c r="E162" s="3">
        <v>4</v>
      </c>
      <c r="F162">
        <v>1</v>
      </c>
      <c r="G162" s="3">
        <v>31</v>
      </c>
      <c r="H162" s="3">
        <v>4</v>
      </c>
      <c r="I162" s="3">
        <v>14</v>
      </c>
      <c r="J162" s="3">
        <v>6</v>
      </c>
      <c r="K162" s="3">
        <v>34</v>
      </c>
      <c r="L162" s="3">
        <v>1</v>
      </c>
      <c r="M162" s="3">
        <v>2</v>
      </c>
      <c r="N162" s="3">
        <v>2</v>
      </c>
      <c r="O162" s="3">
        <v>2</v>
      </c>
      <c r="P162" s="3">
        <v>1</v>
      </c>
      <c r="Q162" s="3">
        <v>6</v>
      </c>
      <c r="R162" s="3">
        <v>29568</v>
      </c>
    </row>
    <row r="163" spans="1:18" x14ac:dyDescent="0.25">
      <c r="A163" s="1">
        <v>60000159</v>
      </c>
      <c r="B163" s="3">
        <v>54</v>
      </c>
      <c r="C163" s="3">
        <v>1</v>
      </c>
      <c r="D163" s="3">
        <v>2</v>
      </c>
      <c r="E163" s="3">
        <v>12</v>
      </c>
      <c r="F163">
        <v>1</v>
      </c>
      <c r="G163" s="3">
        <v>27</v>
      </c>
      <c r="H163" s="3">
        <v>4</v>
      </c>
      <c r="I163" s="3">
        <v>9</v>
      </c>
      <c r="J163" s="3">
        <v>2</v>
      </c>
      <c r="K163" s="3">
        <v>4</v>
      </c>
      <c r="L163" s="3">
        <v>1</v>
      </c>
      <c r="M163" s="3">
        <v>2</v>
      </c>
      <c r="N163" s="3">
        <v>2</v>
      </c>
      <c r="O163" s="3">
        <v>2</v>
      </c>
      <c r="P163" s="3">
        <v>1</v>
      </c>
      <c r="Q163" s="3">
        <v>3</v>
      </c>
      <c r="R163" s="3">
        <v>71682</v>
      </c>
    </row>
    <row r="164" spans="1:18" x14ac:dyDescent="0.25">
      <c r="A164" s="1">
        <v>60000160</v>
      </c>
      <c r="B164" s="3">
        <v>52</v>
      </c>
      <c r="C164" s="3">
        <v>2</v>
      </c>
      <c r="D164" s="3">
        <v>2</v>
      </c>
      <c r="E164" s="3">
        <v>1</v>
      </c>
      <c r="F164">
        <v>1</v>
      </c>
      <c r="G164" s="3">
        <v>19</v>
      </c>
      <c r="H164" s="3">
        <v>3</v>
      </c>
      <c r="I164" s="3">
        <v>13</v>
      </c>
      <c r="J164" s="3">
        <v>8</v>
      </c>
      <c r="K164" s="3">
        <v>37</v>
      </c>
      <c r="L164" s="3">
        <v>1</v>
      </c>
      <c r="M164" s="3">
        <v>2</v>
      </c>
      <c r="N164" s="3">
        <v>2</v>
      </c>
      <c r="O164" s="3">
        <v>2</v>
      </c>
      <c r="P164" s="3">
        <v>2</v>
      </c>
      <c r="Q164" s="3">
        <v>0</v>
      </c>
      <c r="R164" s="3">
        <v>70908</v>
      </c>
    </row>
    <row r="165" spans="1:18" x14ac:dyDescent="0.25">
      <c r="A165" s="1">
        <v>60000161</v>
      </c>
      <c r="B165" s="3">
        <v>58</v>
      </c>
      <c r="C165" s="3">
        <v>2</v>
      </c>
      <c r="D165" s="3">
        <v>1</v>
      </c>
      <c r="E165" s="3">
        <v>10</v>
      </c>
      <c r="F165" s="3">
        <v>1</v>
      </c>
      <c r="G165" s="3">
        <v>27</v>
      </c>
      <c r="H165" s="3">
        <v>4</v>
      </c>
      <c r="I165" s="3">
        <v>8</v>
      </c>
      <c r="J165" s="3">
        <v>8</v>
      </c>
      <c r="K165" s="3">
        <v>11</v>
      </c>
      <c r="L165" s="3">
        <v>1</v>
      </c>
      <c r="M165" s="3">
        <v>2</v>
      </c>
      <c r="N165" s="3">
        <v>2</v>
      </c>
      <c r="O165" s="3">
        <v>2</v>
      </c>
      <c r="P165" s="3">
        <v>1</v>
      </c>
      <c r="Q165" s="3">
        <v>4</v>
      </c>
      <c r="R165" s="3">
        <v>62729</v>
      </c>
    </row>
    <row r="166" spans="1:18" x14ac:dyDescent="0.25">
      <c r="A166" s="1">
        <v>60000162</v>
      </c>
      <c r="B166" s="3">
        <v>25</v>
      </c>
      <c r="C166" s="3">
        <v>1</v>
      </c>
      <c r="D166" s="3">
        <v>1</v>
      </c>
      <c r="E166" s="3">
        <v>12</v>
      </c>
      <c r="F166">
        <v>1</v>
      </c>
      <c r="G166" s="3">
        <v>21</v>
      </c>
      <c r="H166" s="3">
        <v>3</v>
      </c>
      <c r="I166" s="3">
        <v>16</v>
      </c>
      <c r="J166" s="3">
        <v>8</v>
      </c>
      <c r="K166" s="3">
        <v>31</v>
      </c>
      <c r="L166" s="3">
        <v>1</v>
      </c>
      <c r="M166" s="3">
        <v>2</v>
      </c>
      <c r="N166" s="3">
        <v>2</v>
      </c>
      <c r="O166" s="3">
        <v>2</v>
      </c>
      <c r="P166" s="3">
        <v>1</v>
      </c>
      <c r="Q166" s="3">
        <v>5</v>
      </c>
      <c r="R166" s="3">
        <v>51872</v>
      </c>
    </row>
    <row r="167" spans="1:18" x14ac:dyDescent="0.25">
      <c r="A167" s="1">
        <v>60000163</v>
      </c>
      <c r="B167" s="3">
        <v>35</v>
      </c>
      <c r="C167" s="3">
        <v>1</v>
      </c>
      <c r="D167" s="3">
        <v>1</v>
      </c>
      <c r="E167" s="3">
        <v>11</v>
      </c>
      <c r="F167">
        <v>1</v>
      </c>
      <c r="G167" s="3">
        <v>37</v>
      </c>
      <c r="H167" s="3">
        <v>5</v>
      </c>
      <c r="I167" s="3">
        <v>12</v>
      </c>
      <c r="J167" s="3">
        <v>12</v>
      </c>
      <c r="K167" s="3">
        <v>12</v>
      </c>
      <c r="L167" s="3">
        <v>1</v>
      </c>
      <c r="M167" s="3">
        <v>2</v>
      </c>
      <c r="N167" s="3">
        <v>2</v>
      </c>
      <c r="O167" s="3">
        <v>2</v>
      </c>
      <c r="P167" s="3">
        <v>2</v>
      </c>
      <c r="Q167" s="3">
        <v>0</v>
      </c>
      <c r="R167" s="3">
        <v>41202</v>
      </c>
    </row>
    <row r="168" spans="1:18" x14ac:dyDescent="0.25">
      <c r="A168" s="1">
        <v>60000164</v>
      </c>
      <c r="B168" s="3">
        <v>21</v>
      </c>
      <c r="C168" s="3">
        <v>2</v>
      </c>
      <c r="D168" s="3">
        <v>2</v>
      </c>
      <c r="E168" s="3">
        <v>8</v>
      </c>
      <c r="F168">
        <v>1</v>
      </c>
      <c r="G168" s="3">
        <v>33</v>
      </c>
      <c r="H168" s="3">
        <v>5</v>
      </c>
      <c r="I168" s="3">
        <v>1</v>
      </c>
      <c r="J168" s="3">
        <v>6</v>
      </c>
      <c r="K168" s="3">
        <v>15</v>
      </c>
      <c r="L168" s="3">
        <v>1</v>
      </c>
      <c r="M168" s="3">
        <v>2</v>
      </c>
      <c r="N168" s="3">
        <v>2</v>
      </c>
      <c r="O168" s="3">
        <v>2</v>
      </c>
      <c r="P168" s="3">
        <v>1</v>
      </c>
      <c r="Q168" s="3">
        <v>6</v>
      </c>
      <c r="R168" s="3">
        <v>54180</v>
      </c>
    </row>
    <row r="169" spans="1:18" x14ac:dyDescent="0.25">
      <c r="A169" s="1">
        <v>60000165</v>
      </c>
      <c r="B169" s="3">
        <v>59</v>
      </c>
      <c r="C169" s="3">
        <v>2</v>
      </c>
      <c r="D169" s="3">
        <v>1</v>
      </c>
      <c r="E169" s="3">
        <v>1</v>
      </c>
      <c r="F169" s="3">
        <v>1</v>
      </c>
      <c r="G169" s="3">
        <v>12</v>
      </c>
      <c r="H169" s="3">
        <v>2</v>
      </c>
      <c r="I169" s="3">
        <v>3</v>
      </c>
      <c r="J169" s="3">
        <v>3</v>
      </c>
      <c r="K169" s="3">
        <v>4</v>
      </c>
      <c r="L169" s="3">
        <v>1</v>
      </c>
      <c r="M169" s="3">
        <v>2</v>
      </c>
      <c r="N169" s="3">
        <v>2</v>
      </c>
      <c r="O169" s="3">
        <v>2</v>
      </c>
      <c r="P169" s="3">
        <v>1</v>
      </c>
      <c r="Q169" s="3">
        <v>6</v>
      </c>
      <c r="R169" s="3">
        <v>59795</v>
      </c>
    </row>
    <row r="170" spans="1:18" x14ac:dyDescent="0.25">
      <c r="A170" s="1">
        <v>60000166</v>
      </c>
      <c r="B170" s="3">
        <v>27</v>
      </c>
      <c r="C170" s="3">
        <v>2</v>
      </c>
      <c r="D170" s="3">
        <v>1</v>
      </c>
      <c r="E170" s="3">
        <v>3</v>
      </c>
      <c r="F170">
        <v>1</v>
      </c>
      <c r="G170" s="3">
        <v>37</v>
      </c>
      <c r="H170" s="3">
        <v>5</v>
      </c>
      <c r="I170" s="3">
        <v>12</v>
      </c>
      <c r="J170" s="3">
        <v>13</v>
      </c>
      <c r="K170" s="3">
        <v>13</v>
      </c>
      <c r="L170" s="3">
        <v>1</v>
      </c>
      <c r="M170" s="3">
        <v>2</v>
      </c>
      <c r="N170" s="3">
        <v>2</v>
      </c>
      <c r="O170" s="3">
        <v>2</v>
      </c>
      <c r="P170" s="3">
        <v>2</v>
      </c>
      <c r="Q170" s="3">
        <v>0</v>
      </c>
      <c r="R170" s="3">
        <v>26722</v>
      </c>
    </row>
    <row r="171" spans="1:18" x14ac:dyDescent="0.25">
      <c r="A171" s="1">
        <v>60000167</v>
      </c>
      <c r="B171" s="3">
        <v>63</v>
      </c>
      <c r="C171" s="3">
        <v>2</v>
      </c>
      <c r="D171" s="3">
        <v>1</v>
      </c>
      <c r="E171" s="3">
        <v>11</v>
      </c>
      <c r="F171">
        <v>1</v>
      </c>
      <c r="G171" s="3">
        <v>36</v>
      </c>
      <c r="H171" s="3">
        <v>5</v>
      </c>
      <c r="I171" s="3">
        <v>4</v>
      </c>
      <c r="J171" s="3">
        <v>2</v>
      </c>
      <c r="K171" s="3">
        <v>46</v>
      </c>
      <c r="L171" s="3">
        <v>1</v>
      </c>
      <c r="M171" s="3">
        <v>2</v>
      </c>
      <c r="N171" s="3">
        <v>2</v>
      </c>
      <c r="O171" s="3">
        <v>2</v>
      </c>
      <c r="P171" s="3">
        <v>1</v>
      </c>
      <c r="Q171" s="3">
        <v>0</v>
      </c>
      <c r="R171" s="3">
        <v>39648</v>
      </c>
    </row>
    <row r="172" spans="1:18" x14ac:dyDescent="0.25">
      <c r="A172" s="1">
        <v>60000168</v>
      </c>
      <c r="B172" s="3">
        <v>45</v>
      </c>
      <c r="C172" s="3">
        <v>2</v>
      </c>
      <c r="D172" s="3">
        <v>2</v>
      </c>
      <c r="E172" s="3">
        <v>6</v>
      </c>
      <c r="F172">
        <v>1</v>
      </c>
      <c r="G172" s="3">
        <v>35</v>
      </c>
      <c r="H172" s="3">
        <v>5</v>
      </c>
      <c r="I172" s="3">
        <v>3</v>
      </c>
      <c r="J172" s="3">
        <v>6</v>
      </c>
      <c r="K172" s="3">
        <v>28</v>
      </c>
      <c r="L172" s="3">
        <v>1</v>
      </c>
      <c r="M172" s="3">
        <v>2</v>
      </c>
      <c r="N172" s="3">
        <v>2</v>
      </c>
      <c r="O172" s="3">
        <v>2</v>
      </c>
      <c r="P172" s="3">
        <v>1</v>
      </c>
      <c r="Q172" s="3">
        <v>5</v>
      </c>
      <c r="R172" s="3">
        <v>63995</v>
      </c>
    </row>
    <row r="173" spans="1:18" x14ac:dyDescent="0.25">
      <c r="A173" s="1">
        <v>60000169</v>
      </c>
      <c r="B173" s="3">
        <v>56</v>
      </c>
      <c r="C173" s="3">
        <v>2</v>
      </c>
      <c r="D173" s="3">
        <v>2</v>
      </c>
      <c r="E173" s="3">
        <v>10</v>
      </c>
      <c r="F173" s="3">
        <v>1</v>
      </c>
      <c r="G173" s="3">
        <v>25</v>
      </c>
      <c r="H173" s="3">
        <v>4</v>
      </c>
      <c r="I173" s="3">
        <v>1</v>
      </c>
      <c r="J173" s="3">
        <v>2</v>
      </c>
      <c r="K173" s="3">
        <v>27</v>
      </c>
      <c r="L173" s="3">
        <v>1</v>
      </c>
      <c r="M173" s="3">
        <v>2</v>
      </c>
      <c r="N173" s="3">
        <v>2</v>
      </c>
      <c r="O173" s="3">
        <v>2</v>
      </c>
      <c r="P173" s="3">
        <v>1</v>
      </c>
      <c r="Q173" s="3">
        <v>5</v>
      </c>
      <c r="R173" s="3">
        <v>76037</v>
      </c>
    </row>
    <row r="174" spans="1:18" x14ac:dyDescent="0.25">
      <c r="A174" s="1">
        <v>60000170</v>
      </c>
      <c r="B174" s="3">
        <v>26</v>
      </c>
      <c r="C174" s="3">
        <v>1</v>
      </c>
      <c r="D174" s="3">
        <v>2</v>
      </c>
      <c r="E174" s="3">
        <v>7</v>
      </c>
      <c r="F174">
        <v>1</v>
      </c>
      <c r="G174" s="3">
        <v>17</v>
      </c>
      <c r="H174" s="3">
        <v>2</v>
      </c>
      <c r="I174" s="3">
        <v>12</v>
      </c>
      <c r="J174" s="3">
        <v>1</v>
      </c>
      <c r="K174" s="3">
        <v>46</v>
      </c>
      <c r="L174" s="3">
        <v>1</v>
      </c>
      <c r="M174" s="3">
        <v>2</v>
      </c>
      <c r="N174" s="3">
        <v>2</v>
      </c>
      <c r="O174" s="3">
        <v>2</v>
      </c>
      <c r="P174" s="3">
        <v>2</v>
      </c>
      <c r="Q174" s="3">
        <v>0</v>
      </c>
      <c r="R174" s="3">
        <v>56856</v>
      </c>
    </row>
    <row r="175" spans="1:18" x14ac:dyDescent="0.25">
      <c r="A175" s="1">
        <v>60000171</v>
      </c>
      <c r="B175" s="3">
        <v>32</v>
      </c>
      <c r="C175" s="3">
        <v>1</v>
      </c>
      <c r="D175" s="3">
        <v>1</v>
      </c>
      <c r="E175" s="3">
        <v>8</v>
      </c>
      <c r="F175">
        <v>1</v>
      </c>
      <c r="G175" s="3">
        <v>33</v>
      </c>
      <c r="H175" s="3">
        <v>5</v>
      </c>
      <c r="I175" s="3">
        <v>15</v>
      </c>
      <c r="J175" s="3">
        <v>7</v>
      </c>
      <c r="K175" s="3">
        <v>12</v>
      </c>
      <c r="L175" s="3">
        <v>1</v>
      </c>
      <c r="M175" s="3">
        <v>2</v>
      </c>
      <c r="N175" s="3">
        <v>2</v>
      </c>
      <c r="O175" s="3">
        <v>2</v>
      </c>
      <c r="P175" s="3">
        <v>2</v>
      </c>
      <c r="Q175" s="3">
        <v>0</v>
      </c>
      <c r="R175" s="3">
        <v>60704</v>
      </c>
    </row>
    <row r="176" spans="1:18" x14ac:dyDescent="0.25">
      <c r="A176" s="1">
        <v>60000172</v>
      </c>
      <c r="B176" s="3">
        <v>55</v>
      </c>
      <c r="C176" s="3">
        <v>2</v>
      </c>
      <c r="D176" s="3">
        <v>1</v>
      </c>
      <c r="E176" s="3">
        <v>9</v>
      </c>
      <c r="F176">
        <v>1</v>
      </c>
      <c r="G176" s="3">
        <v>25</v>
      </c>
      <c r="H176" s="3">
        <v>4</v>
      </c>
      <c r="I176" s="3">
        <v>6</v>
      </c>
      <c r="J176" s="3">
        <v>9</v>
      </c>
      <c r="K176" s="3">
        <v>21</v>
      </c>
      <c r="L176" s="3">
        <v>1</v>
      </c>
      <c r="M176" s="3">
        <v>2</v>
      </c>
      <c r="N176" s="3">
        <v>2</v>
      </c>
      <c r="O176" s="3">
        <v>2</v>
      </c>
      <c r="P176" s="3">
        <v>2</v>
      </c>
      <c r="Q176" s="3">
        <v>0</v>
      </c>
      <c r="R176" s="3">
        <v>50080</v>
      </c>
    </row>
    <row r="177" spans="1:18" x14ac:dyDescent="0.25">
      <c r="A177" s="1">
        <v>60000173</v>
      </c>
      <c r="B177" s="3">
        <v>50</v>
      </c>
      <c r="C177" s="3">
        <v>2</v>
      </c>
      <c r="D177" s="3">
        <v>1</v>
      </c>
      <c r="E177" s="3">
        <v>1</v>
      </c>
      <c r="F177" s="3">
        <v>1</v>
      </c>
      <c r="G177" s="3">
        <v>21</v>
      </c>
      <c r="H177" s="3">
        <v>3</v>
      </c>
      <c r="I177" s="3">
        <v>2</v>
      </c>
      <c r="J177" s="3">
        <v>11</v>
      </c>
      <c r="K177" s="3">
        <v>42</v>
      </c>
      <c r="L177" s="3">
        <v>1</v>
      </c>
      <c r="M177" s="3">
        <v>2</v>
      </c>
      <c r="N177" s="3">
        <v>2</v>
      </c>
      <c r="O177" s="3">
        <v>2</v>
      </c>
      <c r="P177" s="3">
        <v>2</v>
      </c>
      <c r="Q177" s="3">
        <v>0</v>
      </c>
      <c r="R177" s="3">
        <v>26389</v>
      </c>
    </row>
    <row r="178" spans="1:18" x14ac:dyDescent="0.25">
      <c r="A178" s="1">
        <v>60000174</v>
      </c>
      <c r="B178" s="3">
        <v>23</v>
      </c>
      <c r="C178" s="3">
        <v>2</v>
      </c>
      <c r="D178" s="3">
        <v>1</v>
      </c>
      <c r="E178" s="3">
        <v>9</v>
      </c>
      <c r="F178">
        <v>1</v>
      </c>
      <c r="G178" s="3">
        <v>25</v>
      </c>
      <c r="H178" s="3">
        <v>4</v>
      </c>
      <c r="I178" s="3">
        <v>11</v>
      </c>
      <c r="J178" s="3">
        <v>1</v>
      </c>
      <c r="K178" s="3">
        <v>5</v>
      </c>
      <c r="L178" s="3">
        <v>1</v>
      </c>
      <c r="M178" s="3">
        <v>2</v>
      </c>
      <c r="N178" s="3">
        <v>2</v>
      </c>
      <c r="O178" s="3">
        <v>2</v>
      </c>
      <c r="P178" s="3">
        <v>2</v>
      </c>
      <c r="Q178" s="3">
        <v>0</v>
      </c>
      <c r="R178" s="3">
        <v>29057</v>
      </c>
    </row>
    <row r="179" spans="1:18" x14ac:dyDescent="0.25">
      <c r="A179" s="1">
        <v>60000175</v>
      </c>
      <c r="B179" s="3">
        <v>45</v>
      </c>
      <c r="C179" s="3">
        <v>2</v>
      </c>
      <c r="D179" s="3">
        <v>2</v>
      </c>
      <c r="E179" s="3">
        <v>2</v>
      </c>
      <c r="F179">
        <v>1</v>
      </c>
      <c r="G179" s="3">
        <v>14</v>
      </c>
      <c r="H179" s="3">
        <v>2</v>
      </c>
      <c r="I179" s="3">
        <v>16</v>
      </c>
      <c r="J179" s="3">
        <v>11</v>
      </c>
      <c r="K179" s="3">
        <v>9</v>
      </c>
      <c r="L179" s="3">
        <v>1</v>
      </c>
      <c r="M179" s="3">
        <v>2</v>
      </c>
      <c r="N179" s="3">
        <v>2</v>
      </c>
      <c r="O179" s="3">
        <v>2</v>
      </c>
      <c r="P179" s="3">
        <v>1</v>
      </c>
      <c r="Q179" s="3">
        <v>6</v>
      </c>
      <c r="R179" s="3">
        <v>33747</v>
      </c>
    </row>
    <row r="180" spans="1:18" x14ac:dyDescent="0.25">
      <c r="A180" s="1">
        <v>60000176</v>
      </c>
      <c r="B180" s="3">
        <v>32</v>
      </c>
      <c r="C180" s="3">
        <v>2</v>
      </c>
      <c r="D180" s="3">
        <v>2</v>
      </c>
      <c r="E180" s="3">
        <v>4</v>
      </c>
      <c r="F180">
        <v>1</v>
      </c>
      <c r="G180" s="3">
        <v>27</v>
      </c>
      <c r="H180" s="3">
        <v>4</v>
      </c>
      <c r="I180" s="3">
        <v>8</v>
      </c>
      <c r="J180" s="3">
        <v>3</v>
      </c>
      <c r="K180" s="3">
        <v>29</v>
      </c>
      <c r="L180" s="3">
        <v>1</v>
      </c>
      <c r="M180" s="3">
        <v>2</v>
      </c>
      <c r="N180" s="3">
        <v>2</v>
      </c>
      <c r="O180" s="3">
        <v>2</v>
      </c>
      <c r="P180" s="3">
        <v>1</v>
      </c>
      <c r="Q180" s="3">
        <v>2</v>
      </c>
      <c r="R180" s="3">
        <v>39675</v>
      </c>
    </row>
    <row r="181" spans="1:18" x14ac:dyDescent="0.25">
      <c r="A181" s="1">
        <v>60000177</v>
      </c>
      <c r="B181" s="3">
        <v>49</v>
      </c>
      <c r="C181" s="3">
        <v>1</v>
      </c>
      <c r="D181" s="3">
        <v>1</v>
      </c>
      <c r="E181" s="3">
        <v>7</v>
      </c>
      <c r="F181" s="3">
        <v>1</v>
      </c>
      <c r="G181" s="3">
        <v>34</v>
      </c>
      <c r="H181" s="3">
        <v>5</v>
      </c>
      <c r="I181" s="3">
        <v>2</v>
      </c>
      <c r="J181" s="3">
        <v>2</v>
      </c>
      <c r="K181" s="3">
        <v>16</v>
      </c>
      <c r="L181" s="3">
        <v>1</v>
      </c>
      <c r="M181" s="3">
        <v>2</v>
      </c>
      <c r="N181" s="3">
        <v>2</v>
      </c>
      <c r="O181" s="3">
        <v>2</v>
      </c>
      <c r="P181" s="3">
        <v>1</v>
      </c>
      <c r="Q181" s="3">
        <v>3</v>
      </c>
      <c r="R181" s="3">
        <v>32052</v>
      </c>
    </row>
    <row r="182" spans="1:18" x14ac:dyDescent="0.25">
      <c r="A182" s="1">
        <v>60000178</v>
      </c>
      <c r="B182" s="3">
        <v>49</v>
      </c>
      <c r="C182" s="3">
        <v>2</v>
      </c>
      <c r="D182" s="3">
        <v>2</v>
      </c>
      <c r="E182" s="3">
        <v>6</v>
      </c>
      <c r="F182">
        <v>1</v>
      </c>
      <c r="G182" s="3">
        <v>31</v>
      </c>
      <c r="H182" s="3">
        <v>4</v>
      </c>
      <c r="I182" s="3">
        <v>11</v>
      </c>
      <c r="J182" s="3">
        <v>7</v>
      </c>
      <c r="K182" s="3">
        <v>33</v>
      </c>
      <c r="L182" s="3">
        <v>1</v>
      </c>
      <c r="M182" s="3">
        <v>2</v>
      </c>
      <c r="N182" s="3">
        <v>2</v>
      </c>
      <c r="O182" s="3">
        <v>2</v>
      </c>
      <c r="P182" s="3">
        <v>1</v>
      </c>
      <c r="Q182" s="3">
        <v>6</v>
      </c>
      <c r="R182" s="3">
        <v>84649</v>
      </c>
    </row>
    <row r="183" spans="1:18" x14ac:dyDescent="0.25">
      <c r="A183" s="1">
        <v>60000179</v>
      </c>
      <c r="B183" s="3">
        <v>32</v>
      </c>
      <c r="C183" s="3">
        <v>1</v>
      </c>
      <c r="D183" s="3">
        <v>2</v>
      </c>
      <c r="E183" s="3">
        <v>5</v>
      </c>
      <c r="F183">
        <v>1</v>
      </c>
      <c r="G183" s="3">
        <v>27</v>
      </c>
      <c r="H183" s="3">
        <v>4</v>
      </c>
      <c r="I183" s="3">
        <v>13</v>
      </c>
      <c r="J183" s="3">
        <v>8</v>
      </c>
      <c r="K183" s="3">
        <v>4</v>
      </c>
      <c r="L183" s="3">
        <v>1</v>
      </c>
      <c r="M183" s="3">
        <v>2</v>
      </c>
      <c r="N183" s="3">
        <v>2</v>
      </c>
      <c r="O183" s="3">
        <v>2</v>
      </c>
      <c r="P183" s="3">
        <v>2</v>
      </c>
      <c r="Q183" s="3">
        <v>0</v>
      </c>
      <c r="R183" s="3">
        <v>54095</v>
      </c>
    </row>
    <row r="184" spans="1:18" x14ac:dyDescent="0.25">
      <c r="A184" s="1">
        <v>60000180</v>
      </c>
      <c r="B184" s="3">
        <v>33</v>
      </c>
      <c r="C184" s="3">
        <v>1</v>
      </c>
      <c r="D184" s="3">
        <v>2</v>
      </c>
      <c r="E184" s="3">
        <v>5</v>
      </c>
      <c r="F184">
        <v>1</v>
      </c>
      <c r="G184" s="3">
        <v>33</v>
      </c>
      <c r="H184" s="3">
        <v>5</v>
      </c>
      <c r="I184" s="3">
        <v>11</v>
      </c>
      <c r="J184" s="3">
        <v>1</v>
      </c>
      <c r="K184" s="3">
        <v>10</v>
      </c>
      <c r="L184" s="3">
        <v>1</v>
      </c>
      <c r="M184" s="3">
        <v>2</v>
      </c>
      <c r="N184" s="3">
        <v>2</v>
      </c>
      <c r="O184" s="3">
        <v>2</v>
      </c>
      <c r="P184" s="3">
        <v>1</v>
      </c>
      <c r="Q184" s="3">
        <v>1</v>
      </c>
      <c r="R184" s="3">
        <v>77038</v>
      </c>
    </row>
    <row r="185" spans="1:18" x14ac:dyDescent="0.25">
      <c r="A185" s="1">
        <v>60000181</v>
      </c>
      <c r="B185" s="3">
        <v>59</v>
      </c>
      <c r="C185" s="3">
        <v>2</v>
      </c>
      <c r="D185" s="3">
        <v>1</v>
      </c>
      <c r="E185" s="3">
        <v>11</v>
      </c>
      <c r="F185" s="3">
        <v>1</v>
      </c>
      <c r="G185" s="3">
        <v>12</v>
      </c>
      <c r="H185" s="3">
        <v>2</v>
      </c>
      <c r="I185" s="3">
        <v>11</v>
      </c>
      <c r="J185" s="3">
        <v>9</v>
      </c>
      <c r="K185" s="3">
        <v>45</v>
      </c>
      <c r="L185" s="3">
        <v>1</v>
      </c>
      <c r="M185" s="3">
        <v>2</v>
      </c>
      <c r="N185" s="3">
        <v>2</v>
      </c>
      <c r="O185" s="3">
        <v>2</v>
      </c>
      <c r="P185" s="3">
        <v>2</v>
      </c>
      <c r="Q185" s="3">
        <v>0</v>
      </c>
      <c r="R185" s="3">
        <v>51058</v>
      </c>
    </row>
    <row r="186" spans="1:18" x14ac:dyDescent="0.25">
      <c r="A186" s="1">
        <v>60000182</v>
      </c>
      <c r="B186" s="3">
        <v>57</v>
      </c>
      <c r="C186" s="3">
        <v>1</v>
      </c>
      <c r="D186" s="3">
        <v>2</v>
      </c>
      <c r="E186" s="3">
        <v>5</v>
      </c>
      <c r="F186">
        <v>1</v>
      </c>
      <c r="G186" s="3">
        <v>11</v>
      </c>
      <c r="H186" s="3">
        <v>1</v>
      </c>
      <c r="I186" s="3">
        <v>7</v>
      </c>
      <c r="J186" s="3">
        <v>9</v>
      </c>
      <c r="K186" s="3">
        <v>10</v>
      </c>
      <c r="L186" s="3">
        <v>1</v>
      </c>
      <c r="M186" s="3">
        <v>2</v>
      </c>
      <c r="N186" s="3">
        <v>2</v>
      </c>
      <c r="O186" s="3">
        <v>2</v>
      </c>
      <c r="P186" s="3">
        <v>2</v>
      </c>
      <c r="Q186" s="3">
        <v>0</v>
      </c>
      <c r="R186" s="3">
        <v>84183</v>
      </c>
    </row>
    <row r="187" spans="1:18" x14ac:dyDescent="0.25">
      <c r="A187" s="1">
        <v>60000183</v>
      </c>
      <c r="B187" s="3">
        <v>61</v>
      </c>
      <c r="C187" s="3">
        <v>1</v>
      </c>
      <c r="D187" s="3">
        <v>1</v>
      </c>
      <c r="E187" s="3">
        <v>9</v>
      </c>
      <c r="F187">
        <v>1</v>
      </c>
      <c r="G187" s="3">
        <v>33</v>
      </c>
      <c r="H187" s="3">
        <v>5</v>
      </c>
      <c r="I187" s="3">
        <v>6</v>
      </c>
      <c r="J187" s="3">
        <v>8</v>
      </c>
      <c r="K187" s="3">
        <v>45</v>
      </c>
      <c r="L187" s="3">
        <v>1</v>
      </c>
      <c r="M187" s="3">
        <v>2</v>
      </c>
      <c r="N187" s="3">
        <v>2</v>
      </c>
      <c r="O187" s="3">
        <v>2</v>
      </c>
      <c r="P187" s="3">
        <v>2</v>
      </c>
      <c r="Q187" s="3">
        <v>0</v>
      </c>
      <c r="R187" s="3">
        <v>48307</v>
      </c>
    </row>
    <row r="188" spans="1:18" x14ac:dyDescent="0.25">
      <c r="A188" s="1">
        <v>60000184</v>
      </c>
      <c r="B188" s="3">
        <v>41</v>
      </c>
      <c r="C188" s="3">
        <v>2</v>
      </c>
      <c r="D188" s="3">
        <v>1</v>
      </c>
      <c r="E188" s="3">
        <v>4</v>
      </c>
      <c r="F188">
        <v>1</v>
      </c>
      <c r="G188" s="3">
        <v>25</v>
      </c>
      <c r="H188" s="3">
        <v>4</v>
      </c>
      <c r="I188" s="3">
        <v>1</v>
      </c>
      <c r="J188" s="3">
        <v>6</v>
      </c>
      <c r="K188" s="3">
        <v>32</v>
      </c>
      <c r="L188" s="3">
        <v>1</v>
      </c>
      <c r="M188" s="3">
        <v>2</v>
      </c>
      <c r="N188" s="3">
        <v>2</v>
      </c>
      <c r="O188" s="3">
        <v>2</v>
      </c>
      <c r="P188" s="3">
        <v>1</v>
      </c>
      <c r="Q188" s="3">
        <v>1</v>
      </c>
      <c r="R188" s="3">
        <v>26567</v>
      </c>
    </row>
    <row r="189" spans="1:18" x14ac:dyDescent="0.25">
      <c r="A189" s="1">
        <v>60000185</v>
      </c>
      <c r="B189" s="3">
        <v>46</v>
      </c>
      <c r="C189" s="3">
        <v>2</v>
      </c>
      <c r="D189" s="3">
        <v>2</v>
      </c>
      <c r="E189" s="3">
        <v>1</v>
      </c>
      <c r="F189" s="3">
        <v>1</v>
      </c>
      <c r="G189" s="3">
        <v>37</v>
      </c>
      <c r="H189" s="3">
        <v>5</v>
      </c>
      <c r="I189" s="3">
        <v>1</v>
      </c>
      <c r="J189" s="3">
        <v>8</v>
      </c>
      <c r="K189" s="3">
        <v>43</v>
      </c>
      <c r="L189" s="3">
        <v>1</v>
      </c>
      <c r="M189" s="3">
        <v>2</v>
      </c>
      <c r="N189" s="3">
        <v>2</v>
      </c>
      <c r="O189" s="3">
        <v>2</v>
      </c>
      <c r="P189" s="3">
        <v>1</v>
      </c>
      <c r="Q189" s="3">
        <v>0</v>
      </c>
      <c r="R189" s="3">
        <v>60974</v>
      </c>
    </row>
    <row r="190" spans="1:18" x14ac:dyDescent="0.25">
      <c r="A190" s="1">
        <v>60000186</v>
      </c>
      <c r="B190" s="3">
        <v>43</v>
      </c>
      <c r="C190" s="3">
        <v>2</v>
      </c>
      <c r="D190" s="3">
        <v>1</v>
      </c>
      <c r="E190" s="3">
        <v>2</v>
      </c>
      <c r="F190">
        <v>1</v>
      </c>
      <c r="G190" s="3">
        <v>16</v>
      </c>
      <c r="H190" s="3">
        <v>2</v>
      </c>
      <c r="I190" s="3">
        <v>13</v>
      </c>
      <c r="J190" s="3">
        <v>6</v>
      </c>
      <c r="K190" s="3">
        <v>24</v>
      </c>
      <c r="L190" s="3">
        <v>1</v>
      </c>
      <c r="M190" s="3">
        <v>2</v>
      </c>
      <c r="N190" s="3">
        <v>2</v>
      </c>
      <c r="O190" s="3">
        <v>2</v>
      </c>
      <c r="P190" s="3">
        <v>1</v>
      </c>
      <c r="Q190" s="3">
        <v>2</v>
      </c>
      <c r="R190" s="3">
        <v>42439</v>
      </c>
    </row>
    <row r="191" spans="1:18" x14ac:dyDescent="0.25">
      <c r="A191" s="1">
        <v>60000187</v>
      </c>
      <c r="B191" s="3">
        <v>23</v>
      </c>
      <c r="C191" s="3">
        <v>2</v>
      </c>
      <c r="D191" s="3">
        <v>1</v>
      </c>
      <c r="E191" s="3">
        <v>6</v>
      </c>
      <c r="F191">
        <v>1</v>
      </c>
      <c r="G191" s="3">
        <v>38</v>
      </c>
      <c r="H191" s="3">
        <v>5</v>
      </c>
      <c r="I191" s="3">
        <v>10</v>
      </c>
      <c r="J191" s="3">
        <v>2</v>
      </c>
      <c r="K191" s="3">
        <v>35</v>
      </c>
      <c r="L191" s="3">
        <v>1</v>
      </c>
      <c r="M191" s="3">
        <v>2</v>
      </c>
      <c r="N191" s="3">
        <v>2</v>
      </c>
      <c r="O191" s="3">
        <v>2</v>
      </c>
      <c r="P191" s="3">
        <v>2</v>
      </c>
      <c r="Q191" s="3">
        <v>0</v>
      </c>
      <c r="R191" s="3">
        <v>55285</v>
      </c>
    </row>
    <row r="192" spans="1:18" x14ac:dyDescent="0.25">
      <c r="A192" s="1">
        <v>60000188</v>
      </c>
      <c r="B192" s="3">
        <v>31</v>
      </c>
      <c r="C192" s="3">
        <v>2</v>
      </c>
      <c r="D192" s="3">
        <v>2</v>
      </c>
      <c r="E192" s="3">
        <v>6</v>
      </c>
      <c r="F192">
        <v>1</v>
      </c>
      <c r="G192" s="3">
        <v>17</v>
      </c>
      <c r="H192" s="3">
        <v>2</v>
      </c>
      <c r="I192" s="3">
        <v>8</v>
      </c>
      <c r="J192" s="3">
        <v>6</v>
      </c>
      <c r="K192" s="3">
        <v>23</v>
      </c>
      <c r="L192" s="3">
        <v>1</v>
      </c>
      <c r="M192" s="3">
        <v>2</v>
      </c>
      <c r="N192" s="3">
        <v>2</v>
      </c>
      <c r="O192" s="3">
        <v>2</v>
      </c>
      <c r="P192" s="3">
        <v>1</v>
      </c>
      <c r="Q192" s="3">
        <v>4</v>
      </c>
      <c r="R192" s="3">
        <v>53544</v>
      </c>
    </row>
    <row r="193" spans="1:18" x14ac:dyDescent="0.25">
      <c r="A193" s="1">
        <v>60000189</v>
      </c>
      <c r="B193" s="3">
        <v>20</v>
      </c>
      <c r="C193" s="3">
        <v>2</v>
      </c>
      <c r="D193" s="3">
        <v>1</v>
      </c>
      <c r="E193" s="3">
        <v>11</v>
      </c>
      <c r="F193" s="3">
        <v>1</v>
      </c>
      <c r="G193" s="3">
        <v>26</v>
      </c>
      <c r="H193" s="3">
        <v>4</v>
      </c>
      <c r="I193" s="3">
        <v>3</v>
      </c>
      <c r="J193" s="3">
        <v>1</v>
      </c>
      <c r="K193" s="3">
        <v>3</v>
      </c>
      <c r="L193" s="3">
        <v>1</v>
      </c>
      <c r="M193" s="3">
        <v>2</v>
      </c>
      <c r="N193" s="3">
        <v>2</v>
      </c>
      <c r="O193" s="3">
        <v>2</v>
      </c>
      <c r="P193" s="3">
        <v>1</v>
      </c>
      <c r="Q193" s="3">
        <v>7</v>
      </c>
      <c r="R193" s="3">
        <v>73705</v>
      </c>
    </row>
    <row r="194" spans="1:18" x14ac:dyDescent="0.25">
      <c r="A194" s="1">
        <v>60000190</v>
      </c>
      <c r="B194" s="3">
        <v>64</v>
      </c>
      <c r="C194" s="3">
        <v>1</v>
      </c>
      <c r="D194" s="3">
        <v>2</v>
      </c>
      <c r="E194" s="3">
        <v>8</v>
      </c>
      <c r="F194">
        <v>1</v>
      </c>
      <c r="G194" s="3">
        <v>19</v>
      </c>
      <c r="H194" s="3">
        <v>3</v>
      </c>
      <c r="I194" s="3">
        <v>5</v>
      </c>
      <c r="J194" s="3">
        <v>9</v>
      </c>
      <c r="K194" s="3">
        <v>28</v>
      </c>
      <c r="L194" s="3">
        <v>1</v>
      </c>
      <c r="M194" s="3">
        <v>2</v>
      </c>
      <c r="N194" s="3">
        <v>2</v>
      </c>
      <c r="O194" s="3">
        <v>2</v>
      </c>
      <c r="P194" s="3">
        <v>2</v>
      </c>
      <c r="Q194" s="3">
        <v>0</v>
      </c>
      <c r="R194" s="3">
        <v>45558</v>
      </c>
    </row>
    <row r="195" spans="1:18" x14ac:dyDescent="0.25">
      <c r="A195" s="1">
        <v>60000191</v>
      </c>
      <c r="B195" s="3">
        <v>26</v>
      </c>
      <c r="C195" s="3">
        <v>2</v>
      </c>
      <c r="D195" s="3">
        <v>1</v>
      </c>
      <c r="E195" s="3">
        <v>8</v>
      </c>
      <c r="F195">
        <v>1</v>
      </c>
      <c r="G195" s="3">
        <v>22</v>
      </c>
      <c r="H195" s="3">
        <v>3</v>
      </c>
      <c r="I195" s="3">
        <v>1</v>
      </c>
      <c r="J195" s="3">
        <v>11</v>
      </c>
      <c r="K195" s="3">
        <v>23</v>
      </c>
      <c r="L195" s="3">
        <v>1</v>
      </c>
      <c r="M195" s="3">
        <v>2</v>
      </c>
      <c r="N195" s="3">
        <v>2</v>
      </c>
      <c r="O195" s="3">
        <v>2</v>
      </c>
      <c r="P195" s="3">
        <v>2</v>
      </c>
      <c r="Q195" s="3">
        <v>0</v>
      </c>
      <c r="R195" s="3">
        <v>52826</v>
      </c>
    </row>
    <row r="196" spans="1:18" x14ac:dyDescent="0.25">
      <c r="A196" s="1">
        <v>60000192</v>
      </c>
      <c r="B196" s="3">
        <v>46</v>
      </c>
      <c r="C196" s="3">
        <v>1</v>
      </c>
      <c r="D196" s="3">
        <v>1</v>
      </c>
      <c r="E196" s="3">
        <v>10</v>
      </c>
      <c r="F196">
        <v>1</v>
      </c>
      <c r="G196" s="3">
        <v>23</v>
      </c>
      <c r="H196" s="3">
        <v>3</v>
      </c>
      <c r="I196" s="3">
        <v>17</v>
      </c>
      <c r="J196" s="3">
        <v>11</v>
      </c>
      <c r="K196" s="3">
        <v>49</v>
      </c>
      <c r="L196" s="3">
        <v>1</v>
      </c>
      <c r="M196" s="3">
        <v>2</v>
      </c>
      <c r="N196" s="3">
        <v>2</v>
      </c>
      <c r="O196" s="3">
        <v>2</v>
      </c>
      <c r="P196" s="3">
        <v>1</v>
      </c>
      <c r="Q196" s="3">
        <v>1</v>
      </c>
      <c r="R196" s="3">
        <v>82293</v>
      </c>
    </row>
    <row r="197" spans="1:18" x14ac:dyDescent="0.25">
      <c r="A197" s="1">
        <v>60000193</v>
      </c>
      <c r="B197" s="3">
        <v>45</v>
      </c>
      <c r="C197" s="3">
        <v>2</v>
      </c>
      <c r="D197" s="3">
        <v>2</v>
      </c>
      <c r="E197" s="3">
        <v>9</v>
      </c>
      <c r="F197" s="3">
        <v>1</v>
      </c>
      <c r="G197" s="3">
        <v>21</v>
      </c>
      <c r="H197" s="3">
        <v>3</v>
      </c>
      <c r="I197" s="3">
        <v>14</v>
      </c>
      <c r="J197" s="3">
        <v>9</v>
      </c>
      <c r="K197" s="3">
        <v>27</v>
      </c>
      <c r="L197" s="3">
        <v>1</v>
      </c>
      <c r="M197" s="3">
        <v>2</v>
      </c>
      <c r="N197" s="3">
        <v>2</v>
      </c>
      <c r="O197" s="3">
        <v>2</v>
      </c>
      <c r="P197" s="3">
        <v>2</v>
      </c>
      <c r="Q197" s="3">
        <v>0</v>
      </c>
      <c r="R197" s="3">
        <v>40443</v>
      </c>
    </row>
    <row r="198" spans="1:18" x14ac:dyDescent="0.25">
      <c r="A198" s="1">
        <v>60000194</v>
      </c>
      <c r="B198" s="3">
        <v>45</v>
      </c>
      <c r="C198" s="3">
        <v>1</v>
      </c>
      <c r="D198" s="3">
        <v>1</v>
      </c>
      <c r="E198" s="3">
        <v>9</v>
      </c>
      <c r="F198">
        <v>1</v>
      </c>
      <c r="G198" s="3">
        <v>18</v>
      </c>
      <c r="H198" s="3">
        <v>2</v>
      </c>
      <c r="I198" s="3">
        <v>11</v>
      </c>
      <c r="J198" s="3">
        <v>7</v>
      </c>
      <c r="K198" s="3">
        <v>3</v>
      </c>
      <c r="L198" s="3">
        <v>1</v>
      </c>
      <c r="M198" s="3">
        <v>2</v>
      </c>
      <c r="N198" s="3">
        <v>2</v>
      </c>
      <c r="O198" s="3">
        <v>2</v>
      </c>
      <c r="P198" s="3">
        <v>2</v>
      </c>
      <c r="Q198" s="3">
        <v>0</v>
      </c>
      <c r="R198" s="3">
        <v>43835</v>
      </c>
    </row>
    <row r="199" spans="1:18" x14ac:dyDescent="0.25">
      <c r="A199" s="1">
        <v>60000195</v>
      </c>
      <c r="B199" s="3">
        <v>56</v>
      </c>
      <c r="C199" s="3">
        <v>2</v>
      </c>
      <c r="D199" s="3">
        <v>1</v>
      </c>
      <c r="E199" s="3">
        <v>9</v>
      </c>
      <c r="F199">
        <v>1</v>
      </c>
      <c r="G199" s="3">
        <v>30</v>
      </c>
      <c r="H199" s="3">
        <v>4</v>
      </c>
      <c r="I199" s="3">
        <v>7</v>
      </c>
      <c r="J199" s="3">
        <v>11</v>
      </c>
      <c r="K199" s="3">
        <v>23</v>
      </c>
      <c r="L199" s="3">
        <v>1</v>
      </c>
      <c r="M199" s="3">
        <v>2</v>
      </c>
      <c r="N199" s="3">
        <v>2</v>
      </c>
      <c r="O199" s="3">
        <v>2</v>
      </c>
      <c r="P199" s="3">
        <v>1</v>
      </c>
      <c r="Q199" s="3">
        <v>3</v>
      </c>
      <c r="R199" s="3">
        <v>49676</v>
      </c>
    </row>
    <row r="200" spans="1:18" x14ac:dyDescent="0.25">
      <c r="A200" s="1">
        <v>60000196</v>
      </c>
      <c r="B200" s="3">
        <v>25</v>
      </c>
      <c r="C200" s="3">
        <v>2</v>
      </c>
      <c r="D200" s="3">
        <v>1</v>
      </c>
      <c r="E200" s="3">
        <v>7</v>
      </c>
      <c r="F200">
        <v>1</v>
      </c>
      <c r="G200" s="3">
        <v>16</v>
      </c>
      <c r="H200" s="3">
        <v>2</v>
      </c>
      <c r="I200" s="3">
        <v>6</v>
      </c>
      <c r="J200" s="3">
        <v>4</v>
      </c>
      <c r="K200" s="3">
        <v>34</v>
      </c>
      <c r="L200" s="3">
        <v>1</v>
      </c>
      <c r="M200" s="3">
        <v>2</v>
      </c>
      <c r="N200" s="3">
        <v>2</v>
      </c>
      <c r="O200" s="3">
        <v>2</v>
      </c>
      <c r="P200" s="3">
        <v>2</v>
      </c>
      <c r="Q200" s="3">
        <v>0</v>
      </c>
      <c r="R200" s="3">
        <v>58756</v>
      </c>
    </row>
    <row r="201" spans="1:18" x14ac:dyDescent="0.25">
      <c r="A201" s="1">
        <v>60000197</v>
      </c>
      <c r="B201" s="3">
        <v>50</v>
      </c>
      <c r="C201" s="3">
        <v>2</v>
      </c>
      <c r="D201" s="3">
        <v>1</v>
      </c>
      <c r="E201" s="3">
        <v>11</v>
      </c>
      <c r="F201" s="3">
        <v>1</v>
      </c>
      <c r="G201" s="3">
        <v>22</v>
      </c>
      <c r="H201" s="3">
        <v>3</v>
      </c>
      <c r="I201" s="3">
        <v>13</v>
      </c>
      <c r="J201" s="3">
        <v>9</v>
      </c>
      <c r="K201" s="3">
        <v>37</v>
      </c>
      <c r="L201" s="3">
        <v>1</v>
      </c>
      <c r="M201" s="3">
        <v>2</v>
      </c>
      <c r="N201" s="3">
        <v>2</v>
      </c>
      <c r="O201" s="3">
        <v>2</v>
      </c>
      <c r="P201" s="3">
        <v>2</v>
      </c>
      <c r="Q201" s="3">
        <v>0</v>
      </c>
      <c r="R201" s="3">
        <v>44749</v>
      </c>
    </row>
    <row r="202" spans="1:18" x14ac:dyDescent="0.25">
      <c r="A202" s="1">
        <v>60000198</v>
      </c>
      <c r="B202" s="3">
        <v>21</v>
      </c>
      <c r="C202" s="3">
        <v>1</v>
      </c>
      <c r="D202" s="3">
        <v>1</v>
      </c>
      <c r="E202" s="3">
        <v>4</v>
      </c>
      <c r="F202">
        <v>1</v>
      </c>
      <c r="G202" s="3">
        <v>30</v>
      </c>
      <c r="H202" s="3">
        <v>4</v>
      </c>
      <c r="I202" s="3">
        <v>8</v>
      </c>
      <c r="J202" s="3">
        <v>5</v>
      </c>
      <c r="K202" s="3">
        <v>39</v>
      </c>
      <c r="L202" s="3">
        <v>1</v>
      </c>
      <c r="M202" s="3">
        <v>2</v>
      </c>
      <c r="N202" s="3">
        <v>2</v>
      </c>
      <c r="O202" s="3">
        <v>2</v>
      </c>
      <c r="P202" s="3">
        <v>1</v>
      </c>
      <c r="Q202" s="3">
        <v>0</v>
      </c>
      <c r="R202" s="3">
        <v>51884</v>
      </c>
    </row>
    <row r="203" spans="1:18" x14ac:dyDescent="0.25">
      <c r="A203" s="1">
        <v>60000199</v>
      </c>
      <c r="B203" s="3">
        <v>64</v>
      </c>
      <c r="C203" s="3">
        <v>1</v>
      </c>
      <c r="D203" s="3">
        <v>1</v>
      </c>
      <c r="E203" s="3">
        <v>7</v>
      </c>
      <c r="F203">
        <v>1</v>
      </c>
      <c r="G203" s="3">
        <v>33</v>
      </c>
      <c r="H203" s="3">
        <v>5</v>
      </c>
      <c r="I203" s="3">
        <v>9</v>
      </c>
      <c r="J203" s="3">
        <v>12</v>
      </c>
      <c r="K203" s="3">
        <v>44</v>
      </c>
      <c r="L203" s="3">
        <v>1</v>
      </c>
      <c r="M203" s="3">
        <v>2</v>
      </c>
      <c r="N203" s="3">
        <v>2</v>
      </c>
      <c r="O203" s="3">
        <v>2</v>
      </c>
      <c r="P203" s="3">
        <v>2</v>
      </c>
      <c r="Q203" s="3">
        <v>0</v>
      </c>
      <c r="R203" s="3">
        <v>50267</v>
      </c>
    </row>
    <row r="204" spans="1:18" x14ac:dyDescent="0.25">
      <c r="A204" s="1">
        <v>60000200</v>
      </c>
      <c r="B204" s="3">
        <v>35</v>
      </c>
      <c r="C204" s="3">
        <v>2</v>
      </c>
      <c r="D204" s="3">
        <v>2</v>
      </c>
      <c r="E204" s="3">
        <v>1</v>
      </c>
      <c r="F204">
        <v>1</v>
      </c>
      <c r="G204" s="3">
        <v>25</v>
      </c>
      <c r="H204" s="3">
        <v>4</v>
      </c>
      <c r="I204" s="3">
        <v>16</v>
      </c>
      <c r="J204" s="3">
        <v>11</v>
      </c>
      <c r="K204" s="3">
        <v>43</v>
      </c>
      <c r="L204" s="3">
        <v>1</v>
      </c>
      <c r="M204" s="3">
        <v>2</v>
      </c>
      <c r="N204" s="3">
        <v>2</v>
      </c>
      <c r="O204" s="3">
        <v>2</v>
      </c>
      <c r="P204" s="3">
        <v>2</v>
      </c>
      <c r="Q204" s="3">
        <v>0</v>
      </c>
      <c r="R204" s="3">
        <v>31636</v>
      </c>
    </row>
    <row r="205" spans="1:18" x14ac:dyDescent="0.25">
      <c r="A205" s="1">
        <v>60000201</v>
      </c>
      <c r="B205" s="3">
        <v>31</v>
      </c>
      <c r="C205" s="3">
        <v>2</v>
      </c>
      <c r="D205" s="3">
        <v>1</v>
      </c>
      <c r="E205" s="3">
        <v>10</v>
      </c>
      <c r="F205" s="3">
        <v>1</v>
      </c>
      <c r="G205" s="3">
        <v>25</v>
      </c>
      <c r="H205" s="3">
        <v>4</v>
      </c>
      <c r="I205" s="3">
        <v>14</v>
      </c>
      <c r="J205" s="3">
        <v>3</v>
      </c>
      <c r="K205" s="3">
        <v>24</v>
      </c>
      <c r="L205" s="3">
        <v>1</v>
      </c>
      <c r="M205" s="3">
        <v>2</v>
      </c>
      <c r="N205" s="3">
        <v>2</v>
      </c>
      <c r="O205" s="3">
        <v>2</v>
      </c>
      <c r="P205" s="3">
        <v>1</v>
      </c>
      <c r="Q205" s="3">
        <v>3</v>
      </c>
      <c r="R205" s="3">
        <v>77924</v>
      </c>
    </row>
    <row r="206" spans="1:18" x14ac:dyDescent="0.25">
      <c r="A206" s="1">
        <v>60000202</v>
      </c>
      <c r="B206" s="3">
        <v>26</v>
      </c>
      <c r="C206" s="3">
        <v>2</v>
      </c>
      <c r="D206" s="3">
        <v>1</v>
      </c>
      <c r="E206" s="3">
        <v>8</v>
      </c>
      <c r="F206">
        <v>1</v>
      </c>
      <c r="G206" s="3">
        <v>12</v>
      </c>
      <c r="H206" s="3">
        <v>2</v>
      </c>
      <c r="I206" s="3">
        <v>13</v>
      </c>
      <c r="J206" s="3">
        <v>5</v>
      </c>
      <c r="K206" s="3">
        <v>43</v>
      </c>
      <c r="L206" s="3">
        <v>1</v>
      </c>
      <c r="M206" s="3">
        <v>2</v>
      </c>
      <c r="N206" s="3">
        <v>2</v>
      </c>
      <c r="O206" s="3">
        <v>2</v>
      </c>
      <c r="P206" s="3">
        <v>1</v>
      </c>
      <c r="Q206" s="3">
        <v>0</v>
      </c>
      <c r="R206" s="3">
        <v>35126</v>
      </c>
    </row>
    <row r="207" spans="1:18" x14ac:dyDescent="0.25">
      <c r="A207" s="1">
        <v>60000203</v>
      </c>
      <c r="B207" s="3">
        <v>61</v>
      </c>
      <c r="C207" s="3">
        <v>2</v>
      </c>
      <c r="D207" s="3">
        <v>1</v>
      </c>
      <c r="E207" s="3">
        <v>9</v>
      </c>
      <c r="F207">
        <v>1</v>
      </c>
      <c r="G207" s="3">
        <v>10</v>
      </c>
      <c r="H207" s="3">
        <v>1</v>
      </c>
      <c r="I207" s="3">
        <v>5</v>
      </c>
      <c r="J207" s="3">
        <v>6</v>
      </c>
      <c r="K207" s="3">
        <v>14</v>
      </c>
      <c r="L207" s="3">
        <v>1</v>
      </c>
      <c r="M207" s="3">
        <v>2</v>
      </c>
      <c r="N207" s="3">
        <v>2</v>
      </c>
      <c r="O207" s="3">
        <v>2</v>
      </c>
      <c r="P207" s="3">
        <v>1</v>
      </c>
      <c r="Q207" s="3">
        <v>2</v>
      </c>
      <c r="R207" s="3">
        <v>74576</v>
      </c>
    </row>
    <row r="208" spans="1:18" x14ac:dyDescent="0.25">
      <c r="A208" s="1">
        <v>60000204</v>
      </c>
      <c r="B208" s="3">
        <v>27</v>
      </c>
      <c r="C208" s="3">
        <v>1</v>
      </c>
      <c r="D208" s="3">
        <v>2</v>
      </c>
      <c r="E208" s="3">
        <v>7</v>
      </c>
      <c r="F208">
        <v>1</v>
      </c>
      <c r="G208" s="3">
        <v>31</v>
      </c>
      <c r="H208" s="3">
        <v>4</v>
      </c>
      <c r="I208" s="3">
        <v>11</v>
      </c>
      <c r="J208" s="3">
        <v>1</v>
      </c>
      <c r="K208" s="3">
        <v>17</v>
      </c>
      <c r="L208" s="3">
        <v>1</v>
      </c>
      <c r="M208" s="3">
        <v>2</v>
      </c>
      <c r="N208" s="3">
        <v>2</v>
      </c>
      <c r="O208" s="3">
        <v>2</v>
      </c>
      <c r="P208" s="3">
        <v>2</v>
      </c>
      <c r="Q208" s="3">
        <v>0</v>
      </c>
      <c r="R208" s="3">
        <v>42426</v>
      </c>
    </row>
    <row r="209" spans="1:18" x14ac:dyDescent="0.25">
      <c r="A209" s="1">
        <v>60000205</v>
      </c>
      <c r="B209" s="3">
        <v>36</v>
      </c>
      <c r="C209" s="3">
        <v>2</v>
      </c>
      <c r="D209" s="3">
        <v>2</v>
      </c>
      <c r="E209" s="3">
        <v>2</v>
      </c>
      <c r="F209" s="3">
        <v>1</v>
      </c>
      <c r="G209" s="3">
        <v>20</v>
      </c>
      <c r="H209" s="3">
        <v>3</v>
      </c>
      <c r="I209" s="3">
        <v>4</v>
      </c>
      <c r="J209" s="3">
        <v>11</v>
      </c>
      <c r="K209" s="3">
        <v>34</v>
      </c>
      <c r="L209" s="3">
        <v>1</v>
      </c>
      <c r="M209" s="3">
        <v>2</v>
      </c>
      <c r="N209" s="3">
        <v>2</v>
      </c>
      <c r="O209" s="3">
        <v>2</v>
      </c>
      <c r="P209" s="3">
        <v>2</v>
      </c>
      <c r="Q209" s="3">
        <v>0</v>
      </c>
      <c r="R209" s="3">
        <v>41369</v>
      </c>
    </row>
    <row r="210" spans="1:18" x14ac:dyDescent="0.25">
      <c r="A210" s="1">
        <v>60000206</v>
      </c>
      <c r="B210" s="3">
        <v>41</v>
      </c>
      <c r="C210" s="3">
        <v>1</v>
      </c>
      <c r="D210" s="3">
        <v>1</v>
      </c>
      <c r="E210" s="3">
        <v>9</v>
      </c>
      <c r="F210">
        <v>1</v>
      </c>
      <c r="G210" s="3">
        <v>29</v>
      </c>
      <c r="H210" s="3">
        <v>4</v>
      </c>
      <c r="I210" s="3">
        <v>9</v>
      </c>
      <c r="J210" s="3">
        <v>9</v>
      </c>
      <c r="K210" s="3">
        <v>12</v>
      </c>
      <c r="L210" s="3">
        <v>1</v>
      </c>
      <c r="M210" s="3">
        <v>2</v>
      </c>
      <c r="N210" s="3">
        <v>2</v>
      </c>
      <c r="O210" s="3">
        <v>2</v>
      </c>
      <c r="P210" s="3">
        <v>1</v>
      </c>
      <c r="Q210" s="3">
        <v>2</v>
      </c>
      <c r="R210" s="3">
        <v>80132</v>
      </c>
    </row>
    <row r="211" spans="1:18" x14ac:dyDescent="0.25">
      <c r="A211" s="1">
        <v>60000207</v>
      </c>
      <c r="B211" s="3">
        <v>20</v>
      </c>
      <c r="C211" s="3">
        <v>2</v>
      </c>
      <c r="D211" s="3">
        <v>1</v>
      </c>
      <c r="E211" s="3">
        <v>8</v>
      </c>
      <c r="F211">
        <v>1</v>
      </c>
      <c r="G211" s="3">
        <v>17</v>
      </c>
      <c r="H211" s="3">
        <v>2</v>
      </c>
      <c r="I211" s="3">
        <v>12</v>
      </c>
      <c r="J211" s="3">
        <v>3</v>
      </c>
      <c r="K211" s="3">
        <v>5</v>
      </c>
      <c r="L211" s="3">
        <v>1</v>
      </c>
      <c r="M211" s="3">
        <v>2</v>
      </c>
      <c r="N211" s="3">
        <v>2</v>
      </c>
      <c r="O211" s="3">
        <v>2</v>
      </c>
      <c r="P211" s="3">
        <v>2</v>
      </c>
      <c r="Q211" s="3">
        <v>0</v>
      </c>
      <c r="R211" s="3">
        <v>54339</v>
      </c>
    </row>
    <row r="212" spans="1:18" x14ac:dyDescent="0.25">
      <c r="A212" s="1">
        <v>60000208</v>
      </c>
      <c r="B212" s="3">
        <v>44</v>
      </c>
      <c r="C212" s="3">
        <v>1</v>
      </c>
      <c r="D212" s="3">
        <v>2</v>
      </c>
      <c r="E212" s="3">
        <v>2</v>
      </c>
      <c r="F212">
        <v>1</v>
      </c>
      <c r="G212" s="3">
        <v>34</v>
      </c>
      <c r="H212" s="3">
        <v>5</v>
      </c>
      <c r="I212" s="3">
        <v>6</v>
      </c>
      <c r="J212" s="3">
        <v>1</v>
      </c>
      <c r="K212" s="3">
        <v>21</v>
      </c>
      <c r="L212" s="3">
        <v>1</v>
      </c>
      <c r="M212" s="3">
        <v>2</v>
      </c>
      <c r="N212" s="3">
        <v>2</v>
      </c>
      <c r="O212" s="3">
        <v>2</v>
      </c>
      <c r="P212" s="3">
        <v>1</v>
      </c>
      <c r="Q212" s="3">
        <v>2</v>
      </c>
      <c r="R212" s="3">
        <v>29293</v>
      </c>
    </row>
    <row r="213" spans="1:18" x14ac:dyDescent="0.25">
      <c r="A213" s="1">
        <v>60000209</v>
      </c>
      <c r="B213" s="3">
        <v>35</v>
      </c>
      <c r="C213" s="3">
        <v>1</v>
      </c>
      <c r="D213" s="3">
        <v>1</v>
      </c>
      <c r="E213" s="3">
        <v>4</v>
      </c>
      <c r="F213" s="3">
        <v>1</v>
      </c>
      <c r="G213" s="3">
        <v>35</v>
      </c>
      <c r="H213" s="3">
        <v>5</v>
      </c>
      <c r="I213" s="3">
        <v>10</v>
      </c>
      <c r="J213" s="3">
        <v>1</v>
      </c>
      <c r="K213" s="3">
        <v>23</v>
      </c>
      <c r="L213" s="3">
        <v>1</v>
      </c>
      <c r="M213" s="3">
        <v>2</v>
      </c>
      <c r="N213" s="3">
        <v>2</v>
      </c>
      <c r="O213" s="3">
        <v>2</v>
      </c>
      <c r="P213" s="3">
        <v>1</v>
      </c>
      <c r="Q213" s="3">
        <v>2</v>
      </c>
      <c r="R213" s="3">
        <v>49172</v>
      </c>
    </row>
    <row r="214" spans="1:18" x14ac:dyDescent="0.25">
      <c r="A214" s="1">
        <v>60000210</v>
      </c>
      <c r="B214" s="3">
        <v>55</v>
      </c>
      <c r="C214" s="3">
        <v>2</v>
      </c>
      <c r="D214" s="3">
        <v>1</v>
      </c>
      <c r="E214" s="3">
        <v>2</v>
      </c>
      <c r="F214">
        <v>1</v>
      </c>
      <c r="G214" s="3">
        <v>25</v>
      </c>
      <c r="H214" s="3">
        <v>4</v>
      </c>
      <c r="I214" s="3">
        <v>4</v>
      </c>
      <c r="J214" s="3">
        <v>6</v>
      </c>
      <c r="K214" s="3">
        <v>11</v>
      </c>
      <c r="L214" s="3">
        <v>1</v>
      </c>
      <c r="M214" s="3">
        <v>2</v>
      </c>
      <c r="N214" s="3">
        <v>2</v>
      </c>
      <c r="O214" s="3">
        <v>2</v>
      </c>
      <c r="P214" s="3">
        <v>1</v>
      </c>
      <c r="Q214" s="3">
        <v>1</v>
      </c>
      <c r="R214" s="3">
        <v>56939</v>
      </c>
    </row>
    <row r="215" spans="1:18" x14ac:dyDescent="0.25">
      <c r="A215" s="1">
        <v>60000211</v>
      </c>
      <c r="B215" s="3">
        <v>62</v>
      </c>
      <c r="C215" s="3">
        <v>2</v>
      </c>
      <c r="D215" s="3">
        <v>2</v>
      </c>
      <c r="E215" s="3">
        <v>11</v>
      </c>
      <c r="F215">
        <v>1</v>
      </c>
      <c r="G215" s="3">
        <v>13</v>
      </c>
      <c r="H215" s="3">
        <v>2</v>
      </c>
      <c r="I215" s="3">
        <v>7</v>
      </c>
      <c r="J215" s="3">
        <v>1</v>
      </c>
      <c r="K215" s="3">
        <v>47</v>
      </c>
      <c r="L215" s="3">
        <v>1</v>
      </c>
      <c r="M215" s="3">
        <v>2</v>
      </c>
      <c r="N215" s="3">
        <v>2</v>
      </c>
      <c r="O215" s="3">
        <v>2</v>
      </c>
      <c r="P215" s="3">
        <v>1</v>
      </c>
      <c r="Q215" s="3">
        <v>6</v>
      </c>
      <c r="R215" s="3">
        <v>68211</v>
      </c>
    </row>
    <row r="216" spans="1:18" x14ac:dyDescent="0.25">
      <c r="A216" s="1">
        <v>60000212</v>
      </c>
      <c r="B216" s="3">
        <v>32</v>
      </c>
      <c r="C216" s="3">
        <v>2</v>
      </c>
      <c r="D216" s="3">
        <v>1</v>
      </c>
      <c r="E216" s="3">
        <v>10</v>
      </c>
      <c r="F216">
        <v>1</v>
      </c>
      <c r="G216" s="3">
        <v>30</v>
      </c>
      <c r="H216" s="3">
        <v>4</v>
      </c>
      <c r="I216" s="3">
        <v>8</v>
      </c>
      <c r="J216" s="3">
        <v>3</v>
      </c>
      <c r="K216" s="3">
        <v>47</v>
      </c>
      <c r="L216" s="3">
        <v>1</v>
      </c>
      <c r="M216" s="3">
        <v>2</v>
      </c>
      <c r="N216" s="3">
        <v>2</v>
      </c>
      <c r="O216" s="3">
        <v>2</v>
      </c>
      <c r="P216" s="3">
        <v>1</v>
      </c>
      <c r="Q216" s="3">
        <v>3</v>
      </c>
      <c r="R216" s="3">
        <v>28402</v>
      </c>
    </row>
    <row r="217" spans="1:18" x14ac:dyDescent="0.25">
      <c r="A217" s="1">
        <v>60000213</v>
      </c>
      <c r="B217" s="3">
        <v>56</v>
      </c>
      <c r="C217" s="3">
        <v>1</v>
      </c>
      <c r="D217" s="3">
        <v>1</v>
      </c>
      <c r="E217" s="3">
        <v>11</v>
      </c>
      <c r="F217" s="3">
        <v>1</v>
      </c>
      <c r="G217" s="3">
        <v>31</v>
      </c>
      <c r="H217" s="3">
        <v>4</v>
      </c>
      <c r="I217" s="3">
        <v>3</v>
      </c>
      <c r="J217" s="3">
        <v>6</v>
      </c>
      <c r="K217" s="3">
        <v>27</v>
      </c>
      <c r="L217" s="3">
        <v>1</v>
      </c>
      <c r="M217" s="3">
        <v>2</v>
      </c>
      <c r="N217" s="3">
        <v>2</v>
      </c>
      <c r="O217" s="3">
        <v>2</v>
      </c>
      <c r="P217" s="3">
        <v>1</v>
      </c>
      <c r="Q217" s="3">
        <v>7</v>
      </c>
      <c r="R217" s="3">
        <v>55637</v>
      </c>
    </row>
    <row r="218" spans="1:18" x14ac:dyDescent="0.25">
      <c r="A218" s="1">
        <v>60000214</v>
      </c>
      <c r="B218" s="3">
        <v>31</v>
      </c>
      <c r="C218" s="3">
        <v>2</v>
      </c>
      <c r="D218" s="3">
        <v>1</v>
      </c>
      <c r="E218" s="3">
        <v>11</v>
      </c>
      <c r="F218">
        <v>1</v>
      </c>
      <c r="G218" s="3">
        <v>29</v>
      </c>
      <c r="H218" s="3">
        <v>4</v>
      </c>
      <c r="I218" s="3">
        <v>3</v>
      </c>
      <c r="J218" s="3">
        <v>9</v>
      </c>
      <c r="K218" s="3">
        <v>26</v>
      </c>
      <c r="L218" s="3">
        <v>1</v>
      </c>
      <c r="M218" s="3">
        <v>2</v>
      </c>
      <c r="N218" s="3">
        <v>2</v>
      </c>
      <c r="O218" s="3">
        <v>2</v>
      </c>
      <c r="P218" s="3">
        <v>1</v>
      </c>
      <c r="Q218" s="3">
        <v>7</v>
      </c>
      <c r="R218" s="3">
        <v>60695</v>
      </c>
    </row>
    <row r="219" spans="1:18" x14ac:dyDescent="0.25">
      <c r="A219" s="1">
        <v>60000215</v>
      </c>
      <c r="B219" s="3">
        <v>49</v>
      </c>
      <c r="C219" s="3">
        <v>1</v>
      </c>
      <c r="D219" s="3">
        <v>2</v>
      </c>
      <c r="E219" s="3">
        <v>4</v>
      </c>
      <c r="F219">
        <v>1</v>
      </c>
      <c r="G219" s="3">
        <v>35</v>
      </c>
      <c r="H219" s="3">
        <v>5</v>
      </c>
      <c r="I219" s="3">
        <v>1</v>
      </c>
      <c r="J219" s="3">
        <v>5</v>
      </c>
      <c r="K219" s="3">
        <v>45</v>
      </c>
      <c r="L219" s="3">
        <v>1</v>
      </c>
      <c r="M219" s="3">
        <v>2</v>
      </c>
      <c r="N219" s="3">
        <v>2</v>
      </c>
      <c r="O219" s="3">
        <v>2</v>
      </c>
      <c r="P219" s="3">
        <v>2</v>
      </c>
      <c r="Q219" s="3">
        <v>0</v>
      </c>
      <c r="R219" s="3">
        <v>48064</v>
      </c>
    </row>
    <row r="220" spans="1:18" x14ac:dyDescent="0.25">
      <c r="A220" s="1">
        <v>60000216</v>
      </c>
      <c r="B220" s="3">
        <v>21</v>
      </c>
      <c r="C220" s="3">
        <v>1</v>
      </c>
      <c r="D220" s="3">
        <v>2</v>
      </c>
      <c r="E220" s="3">
        <v>7</v>
      </c>
      <c r="F220">
        <v>1</v>
      </c>
      <c r="G220" s="3">
        <v>37</v>
      </c>
      <c r="H220" s="3">
        <v>5</v>
      </c>
      <c r="I220" s="3">
        <v>13</v>
      </c>
      <c r="J220" s="3">
        <v>5</v>
      </c>
      <c r="K220" s="3">
        <v>9</v>
      </c>
      <c r="L220" s="3">
        <v>1</v>
      </c>
      <c r="M220" s="3">
        <v>2</v>
      </c>
      <c r="N220" s="3">
        <v>2</v>
      </c>
      <c r="O220" s="3">
        <v>2</v>
      </c>
      <c r="P220" s="3">
        <v>2</v>
      </c>
      <c r="Q220" s="3">
        <v>0</v>
      </c>
      <c r="R220" s="3">
        <v>65535</v>
      </c>
    </row>
    <row r="221" spans="1:18" x14ac:dyDescent="0.25">
      <c r="A221" s="1">
        <v>60000217</v>
      </c>
      <c r="B221" s="3">
        <v>32</v>
      </c>
      <c r="C221" s="3">
        <v>1</v>
      </c>
      <c r="D221" s="3">
        <v>2</v>
      </c>
      <c r="E221" s="3">
        <v>1</v>
      </c>
      <c r="F221" s="3">
        <v>1</v>
      </c>
      <c r="G221" s="3">
        <v>21</v>
      </c>
      <c r="H221" s="3">
        <v>3</v>
      </c>
      <c r="I221" s="3">
        <v>6</v>
      </c>
      <c r="J221" s="3">
        <v>10</v>
      </c>
      <c r="K221" s="3">
        <v>43</v>
      </c>
      <c r="L221" s="3">
        <v>1</v>
      </c>
      <c r="M221" s="3">
        <v>2</v>
      </c>
      <c r="N221" s="3">
        <v>2</v>
      </c>
      <c r="O221" s="3">
        <v>2</v>
      </c>
      <c r="P221" s="3">
        <v>1</v>
      </c>
      <c r="Q221" s="3">
        <v>5</v>
      </c>
      <c r="R221" s="3">
        <v>29266</v>
      </c>
    </row>
    <row r="222" spans="1:18" x14ac:dyDescent="0.25">
      <c r="A222" s="1">
        <v>60000218</v>
      </c>
      <c r="B222" s="3">
        <v>43</v>
      </c>
      <c r="C222" s="3">
        <v>2</v>
      </c>
      <c r="D222" s="3">
        <v>1</v>
      </c>
      <c r="E222" s="3">
        <v>7</v>
      </c>
      <c r="F222">
        <v>1</v>
      </c>
      <c r="G222" s="3">
        <v>32</v>
      </c>
      <c r="H222" s="3">
        <v>5</v>
      </c>
      <c r="I222" s="3">
        <v>11</v>
      </c>
      <c r="J222" s="3">
        <v>12</v>
      </c>
      <c r="K222" s="3">
        <v>18</v>
      </c>
      <c r="L222" s="3">
        <v>1</v>
      </c>
      <c r="M222" s="3">
        <v>2</v>
      </c>
      <c r="N222" s="3">
        <v>2</v>
      </c>
      <c r="O222" s="3">
        <v>2</v>
      </c>
      <c r="P222" s="3">
        <v>1</v>
      </c>
      <c r="Q222" s="3">
        <v>2</v>
      </c>
      <c r="R222" s="3">
        <v>45406</v>
      </c>
    </row>
    <row r="223" spans="1:18" x14ac:dyDescent="0.25">
      <c r="A223" s="1">
        <v>60000219</v>
      </c>
      <c r="B223" s="3">
        <v>22</v>
      </c>
      <c r="C223" s="3">
        <v>1</v>
      </c>
      <c r="D223" s="3">
        <v>2</v>
      </c>
      <c r="E223" s="3">
        <v>7</v>
      </c>
      <c r="F223">
        <v>1</v>
      </c>
      <c r="G223" s="3">
        <v>19</v>
      </c>
      <c r="H223" s="3">
        <v>3</v>
      </c>
      <c r="I223" s="3">
        <v>13</v>
      </c>
      <c r="J223" s="3">
        <v>11</v>
      </c>
      <c r="K223" s="3">
        <v>17</v>
      </c>
      <c r="L223" s="3">
        <v>1</v>
      </c>
      <c r="M223" s="3">
        <v>2</v>
      </c>
      <c r="N223" s="3">
        <v>2</v>
      </c>
      <c r="O223" s="3">
        <v>2</v>
      </c>
      <c r="P223" s="3">
        <v>2</v>
      </c>
      <c r="Q223" s="3">
        <v>0</v>
      </c>
      <c r="R223" s="3">
        <v>41428</v>
      </c>
    </row>
    <row r="224" spans="1:18" x14ac:dyDescent="0.25">
      <c r="A224" s="1">
        <v>60000220</v>
      </c>
      <c r="B224" s="3">
        <v>31</v>
      </c>
      <c r="C224" s="3">
        <v>1</v>
      </c>
      <c r="D224" s="3">
        <v>1</v>
      </c>
      <c r="E224" s="3">
        <v>6</v>
      </c>
      <c r="F224">
        <v>1</v>
      </c>
      <c r="G224" s="3">
        <v>27</v>
      </c>
      <c r="H224" s="3">
        <v>4</v>
      </c>
      <c r="I224" s="3">
        <v>16</v>
      </c>
      <c r="J224" s="3">
        <v>8</v>
      </c>
      <c r="K224" s="3">
        <v>19</v>
      </c>
      <c r="L224" s="3">
        <v>1</v>
      </c>
      <c r="M224" s="3">
        <v>2</v>
      </c>
      <c r="N224" s="3">
        <v>2</v>
      </c>
      <c r="O224" s="3">
        <v>2</v>
      </c>
      <c r="P224" s="3">
        <v>2</v>
      </c>
      <c r="Q224" s="3">
        <v>0</v>
      </c>
      <c r="R224" s="3">
        <v>73750</v>
      </c>
    </row>
    <row r="225" spans="1:18" x14ac:dyDescent="0.25">
      <c r="A225" s="1">
        <v>60000221</v>
      </c>
      <c r="B225" s="3">
        <v>29</v>
      </c>
      <c r="C225" s="3">
        <v>1</v>
      </c>
      <c r="D225" s="3">
        <v>2</v>
      </c>
      <c r="E225" s="3">
        <v>12</v>
      </c>
      <c r="F225" s="3">
        <v>1</v>
      </c>
      <c r="G225" s="3">
        <v>14</v>
      </c>
      <c r="H225" s="3">
        <v>2</v>
      </c>
      <c r="I225" s="3">
        <v>10</v>
      </c>
      <c r="J225" s="3">
        <v>10</v>
      </c>
      <c r="K225" s="3">
        <v>6</v>
      </c>
      <c r="L225" s="3">
        <v>1</v>
      </c>
      <c r="M225" s="3">
        <v>2</v>
      </c>
      <c r="N225" s="3">
        <v>2</v>
      </c>
      <c r="O225" s="3">
        <v>2</v>
      </c>
      <c r="P225" s="3">
        <v>1</v>
      </c>
      <c r="Q225" s="3">
        <v>2</v>
      </c>
      <c r="R225" s="3">
        <v>72331</v>
      </c>
    </row>
    <row r="226" spans="1:18" x14ac:dyDescent="0.25">
      <c r="A226" s="1">
        <v>60000222</v>
      </c>
      <c r="B226" s="3">
        <v>31</v>
      </c>
      <c r="C226" s="3">
        <v>2</v>
      </c>
      <c r="D226" s="3">
        <v>1</v>
      </c>
      <c r="E226" s="3">
        <v>4</v>
      </c>
      <c r="F226">
        <v>1</v>
      </c>
      <c r="G226" s="3">
        <v>20</v>
      </c>
      <c r="H226" s="3">
        <v>3</v>
      </c>
      <c r="I226" s="3">
        <v>7</v>
      </c>
      <c r="J226" s="3">
        <v>8</v>
      </c>
      <c r="K226" s="3">
        <v>24</v>
      </c>
      <c r="L226" s="3">
        <v>1</v>
      </c>
      <c r="M226" s="3">
        <v>2</v>
      </c>
      <c r="N226" s="3">
        <v>2</v>
      </c>
      <c r="O226" s="3">
        <v>2</v>
      </c>
      <c r="P226" s="3">
        <v>2</v>
      </c>
      <c r="Q226" s="3">
        <v>0</v>
      </c>
      <c r="R226" s="3">
        <v>35213</v>
      </c>
    </row>
    <row r="227" spans="1:18" x14ac:dyDescent="0.25">
      <c r="A227" s="1">
        <v>60000223</v>
      </c>
      <c r="B227" s="3">
        <v>60</v>
      </c>
      <c r="C227" s="3">
        <v>1</v>
      </c>
      <c r="D227" s="3">
        <v>2</v>
      </c>
      <c r="E227" s="3">
        <v>9</v>
      </c>
      <c r="F227">
        <v>1</v>
      </c>
      <c r="G227" s="3">
        <v>13</v>
      </c>
      <c r="H227" s="3">
        <v>2</v>
      </c>
      <c r="I227" s="3">
        <v>4</v>
      </c>
      <c r="J227" s="3">
        <v>8</v>
      </c>
      <c r="K227" s="3">
        <v>11</v>
      </c>
      <c r="L227" s="3">
        <v>1</v>
      </c>
      <c r="M227" s="3">
        <v>2</v>
      </c>
      <c r="N227" s="3">
        <v>2</v>
      </c>
      <c r="O227" s="3">
        <v>2</v>
      </c>
      <c r="P227" s="3">
        <v>1</v>
      </c>
      <c r="Q227" s="3">
        <v>4</v>
      </c>
      <c r="R227" s="3">
        <v>82583</v>
      </c>
    </row>
    <row r="228" spans="1:18" x14ac:dyDescent="0.25">
      <c r="A228" s="1">
        <v>60000224</v>
      </c>
      <c r="B228" s="3">
        <v>58</v>
      </c>
      <c r="C228" s="3">
        <v>1</v>
      </c>
      <c r="D228" s="3">
        <v>1</v>
      </c>
      <c r="E228" s="3">
        <v>11</v>
      </c>
      <c r="F228">
        <v>1</v>
      </c>
      <c r="G228" s="3">
        <v>29</v>
      </c>
      <c r="H228" s="3">
        <v>4</v>
      </c>
      <c r="I228" s="3">
        <v>5</v>
      </c>
      <c r="J228" s="3">
        <v>6</v>
      </c>
      <c r="K228" s="3">
        <v>25</v>
      </c>
      <c r="L228" s="3">
        <v>1</v>
      </c>
      <c r="M228" s="3">
        <v>2</v>
      </c>
      <c r="N228" s="3">
        <v>2</v>
      </c>
      <c r="O228" s="3">
        <v>2</v>
      </c>
      <c r="P228" s="3">
        <v>1</v>
      </c>
      <c r="Q228" s="3">
        <v>2</v>
      </c>
      <c r="R228" s="3">
        <v>80511</v>
      </c>
    </row>
    <row r="229" spans="1:18" x14ac:dyDescent="0.25">
      <c r="A229" s="1">
        <v>60000225</v>
      </c>
      <c r="B229" s="3">
        <v>26</v>
      </c>
      <c r="C229" s="3">
        <v>2</v>
      </c>
      <c r="D229" s="3">
        <v>1</v>
      </c>
      <c r="E229" s="3">
        <v>10</v>
      </c>
      <c r="F229" s="3">
        <v>1</v>
      </c>
      <c r="G229" s="3">
        <v>35</v>
      </c>
      <c r="H229" s="3">
        <v>5</v>
      </c>
      <c r="I229" s="3">
        <v>3</v>
      </c>
      <c r="J229" s="3">
        <v>9</v>
      </c>
      <c r="K229" s="3">
        <v>14</v>
      </c>
      <c r="L229" s="3">
        <v>1</v>
      </c>
      <c r="M229" s="3">
        <v>2</v>
      </c>
      <c r="N229" s="3">
        <v>2</v>
      </c>
      <c r="O229" s="3">
        <v>2</v>
      </c>
      <c r="P229" s="3">
        <v>1</v>
      </c>
      <c r="Q229" s="3">
        <v>0</v>
      </c>
      <c r="R229" s="3">
        <v>62373</v>
      </c>
    </row>
    <row r="230" spans="1:18" x14ac:dyDescent="0.25">
      <c r="A230" s="1">
        <v>60000226</v>
      </c>
      <c r="B230" s="3">
        <v>62</v>
      </c>
      <c r="C230" s="3">
        <v>1</v>
      </c>
      <c r="D230" s="3">
        <v>2</v>
      </c>
      <c r="E230" s="3">
        <v>10</v>
      </c>
      <c r="F230">
        <v>1</v>
      </c>
      <c r="G230" s="3">
        <v>38</v>
      </c>
      <c r="H230" s="3">
        <v>5</v>
      </c>
      <c r="I230" s="3">
        <v>5</v>
      </c>
      <c r="J230" s="3">
        <v>2</v>
      </c>
      <c r="K230" s="3">
        <v>4</v>
      </c>
      <c r="L230" s="3">
        <v>1</v>
      </c>
      <c r="M230" s="3">
        <v>2</v>
      </c>
      <c r="N230" s="3">
        <v>2</v>
      </c>
      <c r="O230" s="3">
        <v>2</v>
      </c>
      <c r="P230" s="3">
        <v>1</v>
      </c>
      <c r="Q230" s="3">
        <v>3</v>
      </c>
      <c r="R230" s="3">
        <v>67931</v>
      </c>
    </row>
    <row r="231" spans="1:18" x14ac:dyDescent="0.25">
      <c r="A231" s="1">
        <v>60000227</v>
      </c>
      <c r="B231" s="3">
        <v>26</v>
      </c>
      <c r="C231" s="3">
        <v>2</v>
      </c>
      <c r="D231" s="3">
        <v>1</v>
      </c>
      <c r="E231" s="3">
        <v>10</v>
      </c>
      <c r="F231">
        <v>1</v>
      </c>
      <c r="G231" s="3">
        <v>32</v>
      </c>
      <c r="H231" s="3">
        <v>5</v>
      </c>
      <c r="I231" s="3">
        <v>15</v>
      </c>
      <c r="J231" s="3">
        <v>13</v>
      </c>
      <c r="K231" s="3">
        <v>28</v>
      </c>
      <c r="L231" s="3">
        <v>1</v>
      </c>
      <c r="M231" s="3">
        <v>2</v>
      </c>
      <c r="N231" s="3">
        <v>2</v>
      </c>
      <c r="O231" s="3">
        <v>2</v>
      </c>
      <c r="P231" s="3">
        <v>2</v>
      </c>
      <c r="Q231" s="3">
        <v>0</v>
      </c>
      <c r="R231" s="3">
        <v>64359</v>
      </c>
    </row>
    <row r="232" spans="1:18" x14ac:dyDescent="0.25">
      <c r="A232" s="1">
        <v>60000228</v>
      </c>
      <c r="B232" s="3">
        <v>59</v>
      </c>
      <c r="C232" s="3">
        <v>2</v>
      </c>
      <c r="D232" s="3">
        <v>1</v>
      </c>
      <c r="E232" s="3">
        <v>10</v>
      </c>
      <c r="F232">
        <v>1</v>
      </c>
      <c r="G232" s="3">
        <v>11</v>
      </c>
      <c r="H232" s="3">
        <v>1</v>
      </c>
      <c r="I232" s="3">
        <v>8</v>
      </c>
      <c r="J232" s="3">
        <v>8</v>
      </c>
      <c r="K232" s="3">
        <v>35</v>
      </c>
      <c r="L232" s="3">
        <v>1</v>
      </c>
      <c r="M232" s="3">
        <v>2</v>
      </c>
      <c r="N232" s="3">
        <v>2</v>
      </c>
      <c r="O232" s="3">
        <v>2</v>
      </c>
      <c r="P232" s="3">
        <v>1</v>
      </c>
      <c r="Q232" s="3">
        <v>7</v>
      </c>
      <c r="R232" s="3">
        <v>63840</v>
      </c>
    </row>
    <row r="233" spans="1:18" x14ac:dyDescent="0.25">
      <c r="A233" s="1">
        <v>60000229</v>
      </c>
      <c r="B233" s="3">
        <v>49</v>
      </c>
      <c r="C233" s="3">
        <v>1</v>
      </c>
      <c r="D233" s="3">
        <v>1</v>
      </c>
      <c r="E233" s="3">
        <v>11</v>
      </c>
      <c r="F233" s="3">
        <v>1</v>
      </c>
      <c r="G233" s="3">
        <v>16</v>
      </c>
      <c r="H233" s="3">
        <v>2</v>
      </c>
      <c r="I233" s="3">
        <v>12</v>
      </c>
      <c r="J233" s="3">
        <v>4</v>
      </c>
      <c r="K233" s="3">
        <v>47</v>
      </c>
      <c r="L233" s="3">
        <v>1</v>
      </c>
      <c r="M233" s="3">
        <v>2</v>
      </c>
      <c r="N233" s="3">
        <v>2</v>
      </c>
      <c r="O233" s="3">
        <v>2</v>
      </c>
      <c r="P233" s="3">
        <v>1</v>
      </c>
      <c r="Q233" s="3">
        <v>4</v>
      </c>
      <c r="R233" s="3">
        <v>72038</v>
      </c>
    </row>
    <row r="234" spans="1:18" x14ac:dyDescent="0.25">
      <c r="A234" s="1">
        <v>60000230</v>
      </c>
      <c r="B234" s="3">
        <v>26</v>
      </c>
      <c r="C234" s="3">
        <v>1</v>
      </c>
      <c r="D234" s="3">
        <v>1</v>
      </c>
      <c r="E234" s="3">
        <v>12</v>
      </c>
      <c r="F234">
        <v>1</v>
      </c>
      <c r="G234" s="3">
        <v>29</v>
      </c>
      <c r="H234" s="3">
        <v>4</v>
      </c>
      <c r="I234" s="3">
        <v>16</v>
      </c>
      <c r="J234" s="3">
        <v>12</v>
      </c>
      <c r="K234" s="3">
        <v>21</v>
      </c>
      <c r="L234" s="3">
        <v>1</v>
      </c>
      <c r="M234" s="3">
        <v>2</v>
      </c>
      <c r="N234" s="3">
        <v>2</v>
      </c>
      <c r="O234" s="3">
        <v>2</v>
      </c>
      <c r="P234" s="3">
        <v>1</v>
      </c>
      <c r="Q234" s="3">
        <v>4</v>
      </c>
      <c r="R234" s="3">
        <v>26811</v>
      </c>
    </row>
    <row r="235" spans="1:18" x14ac:dyDescent="0.25">
      <c r="A235" s="1">
        <v>60000231</v>
      </c>
      <c r="B235" s="3">
        <v>27</v>
      </c>
      <c r="C235" s="3">
        <v>1</v>
      </c>
      <c r="D235" s="3">
        <v>1</v>
      </c>
      <c r="E235" s="3">
        <v>11</v>
      </c>
      <c r="F235">
        <v>1</v>
      </c>
      <c r="G235" s="3">
        <v>24</v>
      </c>
      <c r="H235" s="3">
        <v>3</v>
      </c>
      <c r="I235" s="3">
        <v>7</v>
      </c>
      <c r="J235" s="3">
        <v>6</v>
      </c>
      <c r="K235" s="3">
        <v>43</v>
      </c>
      <c r="L235" s="3">
        <v>1</v>
      </c>
      <c r="M235" s="3">
        <v>2</v>
      </c>
      <c r="N235" s="3">
        <v>2</v>
      </c>
      <c r="O235" s="3">
        <v>2</v>
      </c>
      <c r="P235" s="3">
        <v>1</v>
      </c>
      <c r="Q235" s="3">
        <v>0</v>
      </c>
      <c r="R235" s="3">
        <v>23963</v>
      </c>
    </row>
    <row r="236" spans="1:18" x14ac:dyDescent="0.25">
      <c r="A236" s="1">
        <v>60000232</v>
      </c>
      <c r="B236" s="3">
        <v>45</v>
      </c>
      <c r="C236" s="3">
        <v>2</v>
      </c>
      <c r="D236" s="3">
        <v>2</v>
      </c>
      <c r="E236" s="3">
        <v>12</v>
      </c>
      <c r="F236">
        <v>1</v>
      </c>
      <c r="G236" s="3">
        <v>31</v>
      </c>
      <c r="H236" s="3">
        <v>4</v>
      </c>
      <c r="I236" s="3">
        <v>8</v>
      </c>
      <c r="J236" s="3">
        <v>9</v>
      </c>
      <c r="K236" s="3">
        <v>27</v>
      </c>
      <c r="L236" s="3">
        <v>1</v>
      </c>
      <c r="M236" s="3">
        <v>2</v>
      </c>
      <c r="N236" s="3">
        <v>2</v>
      </c>
      <c r="O236" s="3">
        <v>2</v>
      </c>
      <c r="P236" s="3">
        <v>2</v>
      </c>
      <c r="Q236" s="3">
        <v>0</v>
      </c>
      <c r="R236" s="3">
        <v>32293</v>
      </c>
    </row>
    <row r="237" spans="1:18" x14ac:dyDescent="0.25">
      <c r="A237" s="1">
        <v>60000233</v>
      </c>
      <c r="B237" s="3">
        <v>47</v>
      </c>
      <c r="C237" s="3">
        <v>1</v>
      </c>
      <c r="D237" s="3">
        <v>1</v>
      </c>
      <c r="E237" s="3">
        <v>2</v>
      </c>
      <c r="F237" s="3">
        <v>1</v>
      </c>
      <c r="G237" s="3">
        <v>19</v>
      </c>
      <c r="H237" s="3">
        <v>3</v>
      </c>
      <c r="I237" s="3">
        <v>13</v>
      </c>
      <c r="J237" s="3">
        <v>2</v>
      </c>
      <c r="K237" s="3">
        <v>23</v>
      </c>
      <c r="L237" s="3">
        <v>1</v>
      </c>
      <c r="M237" s="3">
        <v>2</v>
      </c>
      <c r="N237" s="3">
        <v>2</v>
      </c>
      <c r="O237" s="3">
        <v>2</v>
      </c>
      <c r="P237" s="3">
        <v>1</v>
      </c>
      <c r="Q237" s="3">
        <v>1</v>
      </c>
      <c r="R237" s="3">
        <v>69178</v>
      </c>
    </row>
    <row r="238" spans="1:18" x14ac:dyDescent="0.25">
      <c r="A238" s="1">
        <v>60000234</v>
      </c>
      <c r="B238" s="3">
        <v>65</v>
      </c>
      <c r="C238" s="3">
        <v>1</v>
      </c>
      <c r="D238" s="3">
        <v>2</v>
      </c>
      <c r="E238" s="3">
        <v>6</v>
      </c>
      <c r="F238">
        <v>1</v>
      </c>
      <c r="G238" s="3">
        <v>25</v>
      </c>
      <c r="H238" s="3">
        <v>4</v>
      </c>
      <c r="I238" s="3">
        <v>10</v>
      </c>
      <c r="J238" s="3">
        <v>8</v>
      </c>
      <c r="K238" s="3">
        <v>7</v>
      </c>
      <c r="L238" s="3">
        <v>1</v>
      </c>
      <c r="M238" s="3">
        <v>2</v>
      </c>
      <c r="N238" s="3">
        <v>2</v>
      </c>
      <c r="O238" s="3">
        <v>2</v>
      </c>
      <c r="P238" s="3">
        <v>1</v>
      </c>
      <c r="Q238" s="3">
        <v>1</v>
      </c>
      <c r="R238" s="3">
        <v>52660</v>
      </c>
    </row>
    <row r="239" spans="1:18" x14ac:dyDescent="0.25">
      <c r="A239" s="1">
        <v>60000235</v>
      </c>
      <c r="B239" s="3">
        <v>28</v>
      </c>
      <c r="C239" s="3">
        <v>2</v>
      </c>
      <c r="D239" s="3">
        <v>2</v>
      </c>
      <c r="E239" s="3">
        <v>9</v>
      </c>
      <c r="F239">
        <v>1</v>
      </c>
      <c r="G239" s="3">
        <v>27</v>
      </c>
      <c r="H239" s="3">
        <v>4</v>
      </c>
      <c r="I239" s="3">
        <v>17</v>
      </c>
      <c r="J239" s="3">
        <v>1</v>
      </c>
      <c r="K239" s="3">
        <v>14</v>
      </c>
      <c r="L239" s="3">
        <v>1</v>
      </c>
      <c r="M239" s="3">
        <v>2</v>
      </c>
      <c r="N239" s="3">
        <v>2</v>
      </c>
      <c r="O239" s="3">
        <v>2</v>
      </c>
      <c r="P239" s="3">
        <v>2</v>
      </c>
      <c r="Q239" s="3">
        <v>0</v>
      </c>
      <c r="R239" s="3">
        <v>40589</v>
      </c>
    </row>
    <row r="240" spans="1:18" x14ac:dyDescent="0.25">
      <c r="A240" s="1">
        <v>60000236</v>
      </c>
      <c r="B240" s="3">
        <v>52</v>
      </c>
      <c r="C240" s="3">
        <v>2</v>
      </c>
      <c r="D240" s="3">
        <v>2</v>
      </c>
      <c r="E240" s="3">
        <v>4</v>
      </c>
      <c r="F240">
        <v>1</v>
      </c>
      <c r="G240" s="3">
        <v>10</v>
      </c>
      <c r="H240" s="3">
        <v>1</v>
      </c>
      <c r="I240" s="3">
        <v>14</v>
      </c>
      <c r="J240" s="3">
        <v>6</v>
      </c>
      <c r="K240" s="3">
        <v>13</v>
      </c>
      <c r="L240" s="3">
        <v>1</v>
      </c>
      <c r="M240" s="3">
        <v>2</v>
      </c>
      <c r="N240" s="3">
        <v>2</v>
      </c>
      <c r="O240" s="3">
        <v>2</v>
      </c>
      <c r="P240" s="3">
        <v>1</v>
      </c>
      <c r="Q240" s="3">
        <v>5</v>
      </c>
      <c r="R240" s="3">
        <v>35339</v>
      </c>
    </row>
    <row r="241" spans="1:18" x14ac:dyDescent="0.25">
      <c r="A241" s="1">
        <v>60000237</v>
      </c>
      <c r="B241" s="3">
        <v>22</v>
      </c>
      <c r="C241" s="3">
        <v>2</v>
      </c>
      <c r="D241" s="3">
        <v>2</v>
      </c>
      <c r="E241" s="3">
        <v>2</v>
      </c>
      <c r="F241" s="3">
        <v>1</v>
      </c>
      <c r="G241" s="3">
        <v>15</v>
      </c>
      <c r="H241" s="3">
        <v>2</v>
      </c>
      <c r="I241" s="3">
        <v>9</v>
      </c>
      <c r="J241" s="3">
        <v>12</v>
      </c>
      <c r="K241" s="3">
        <v>49</v>
      </c>
      <c r="L241" s="3">
        <v>1</v>
      </c>
      <c r="M241" s="3">
        <v>2</v>
      </c>
      <c r="N241" s="3">
        <v>2</v>
      </c>
      <c r="O241" s="3">
        <v>2</v>
      </c>
      <c r="P241" s="3">
        <v>2</v>
      </c>
      <c r="Q241" s="3">
        <v>0</v>
      </c>
      <c r="R241" s="3">
        <v>31305</v>
      </c>
    </row>
    <row r="242" spans="1:18" x14ac:dyDescent="0.25">
      <c r="A242" s="1">
        <v>60000238</v>
      </c>
      <c r="B242" s="3">
        <v>39</v>
      </c>
      <c r="C242" s="3">
        <v>1</v>
      </c>
      <c r="D242" s="3">
        <v>2</v>
      </c>
      <c r="E242" s="3">
        <v>5</v>
      </c>
      <c r="F242">
        <v>1</v>
      </c>
      <c r="G242" s="3">
        <v>38</v>
      </c>
      <c r="H242" s="3">
        <v>5</v>
      </c>
      <c r="I242" s="3">
        <v>9</v>
      </c>
      <c r="J242" s="3">
        <v>12</v>
      </c>
      <c r="K242" s="3">
        <v>24</v>
      </c>
      <c r="L242" s="3">
        <v>1</v>
      </c>
      <c r="M242" s="3">
        <v>2</v>
      </c>
      <c r="N242" s="3">
        <v>2</v>
      </c>
      <c r="O242" s="3">
        <v>2</v>
      </c>
      <c r="P242" s="3">
        <v>1</v>
      </c>
      <c r="Q242" s="3">
        <v>0</v>
      </c>
      <c r="R242" s="3">
        <v>42758</v>
      </c>
    </row>
    <row r="243" spans="1:18" x14ac:dyDescent="0.25">
      <c r="A243" s="1">
        <v>60000239</v>
      </c>
      <c r="B243" s="3">
        <v>47</v>
      </c>
      <c r="C243" s="3">
        <v>1</v>
      </c>
      <c r="D243" s="3">
        <v>2</v>
      </c>
      <c r="E243" s="3">
        <v>2</v>
      </c>
      <c r="F243">
        <v>1</v>
      </c>
      <c r="G243" s="3">
        <v>12</v>
      </c>
      <c r="H243" s="3">
        <v>2</v>
      </c>
      <c r="I243" s="3">
        <v>8</v>
      </c>
      <c r="J243" s="3">
        <v>12</v>
      </c>
      <c r="K243" s="3">
        <v>45</v>
      </c>
      <c r="L243" s="3">
        <v>2</v>
      </c>
      <c r="M243" s="3">
        <v>2</v>
      </c>
      <c r="N243" s="3">
        <v>2</v>
      </c>
      <c r="O243" s="3">
        <v>2</v>
      </c>
      <c r="P243" s="3">
        <v>2</v>
      </c>
      <c r="Q243" s="3">
        <v>0</v>
      </c>
      <c r="R243" s="3">
        <v>52307</v>
      </c>
    </row>
    <row r="244" spans="1:18" x14ac:dyDescent="0.25">
      <c r="A244" s="1">
        <v>60000240</v>
      </c>
      <c r="B244" s="3">
        <v>65</v>
      </c>
      <c r="C244" s="3">
        <v>1</v>
      </c>
      <c r="D244" s="3">
        <v>2</v>
      </c>
      <c r="E244" s="3">
        <v>1</v>
      </c>
      <c r="F244">
        <v>1</v>
      </c>
      <c r="G244" s="3">
        <v>36</v>
      </c>
      <c r="H244" s="3">
        <v>5</v>
      </c>
      <c r="I244" s="3">
        <v>4</v>
      </c>
      <c r="J244" s="3">
        <v>5</v>
      </c>
      <c r="K244" s="3">
        <v>12</v>
      </c>
      <c r="L244" s="3">
        <v>3</v>
      </c>
      <c r="M244" s="3">
        <v>2</v>
      </c>
      <c r="N244" s="3">
        <v>2</v>
      </c>
      <c r="O244" s="3">
        <v>2</v>
      </c>
      <c r="P244" s="3">
        <v>2</v>
      </c>
      <c r="Q244" s="3">
        <v>0</v>
      </c>
      <c r="R244" s="3">
        <v>27291</v>
      </c>
    </row>
    <row r="245" spans="1:18" x14ac:dyDescent="0.25">
      <c r="A245" s="1">
        <v>60000241</v>
      </c>
      <c r="B245" s="3">
        <v>57</v>
      </c>
      <c r="C245" s="3">
        <v>1</v>
      </c>
      <c r="D245" s="3">
        <v>1</v>
      </c>
      <c r="E245" s="3">
        <v>4</v>
      </c>
      <c r="F245" s="3">
        <v>1</v>
      </c>
      <c r="G245" s="3">
        <v>14</v>
      </c>
      <c r="H245" s="3">
        <v>2</v>
      </c>
      <c r="I245" s="3">
        <v>16</v>
      </c>
      <c r="J245" s="3">
        <v>13</v>
      </c>
      <c r="K245" s="3">
        <v>46</v>
      </c>
      <c r="L245" s="3">
        <v>1</v>
      </c>
      <c r="M245" s="3">
        <v>2</v>
      </c>
      <c r="N245" s="3">
        <v>2</v>
      </c>
      <c r="O245" s="3">
        <v>2</v>
      </c>
      <c r="P245" s="3">
        <v>1</v>
      </c>
      <c r="Q245" s="3">
        <v>3</v>
      </c>
      <c r="R245" s="3">
        <v>33519</v>
      </c>
    </row>
    <row r="246" spans="1:18" x14ac:dyDescent="0.25">
      <c r="A246" s="1">
        <v>60000242</v>
      </c>
      <c r="B246" s="3">
        <v>60</v>
      </c>
      <c r="C246" s="3">
        <v>1</v>
      </c>
      <c r="D246" s="3">
        <v>1</v>
      </c>
      <c r="E246" s="3">
        <v>10</v>
      </c>
      <c r="F246">
        <v>1</v>
      </c>
      <c r="G246" s="3">
        <v>11</v>
      </c>
      <c r="H246" s="3">
        <v>1</v>
      </c>
      <c r="I246" s="3">
        <v>15</v>
      </c>
      <c r="J246" s="3">
        <v>8</v>
      </c>
      <c r="K246" s="3">
        <v>2</v>
      </c>
      <c r="L246" s="3">
        <v>3</v>
      </c>
      <c r="M246">
        <v>1</v>
      </c>
      <c r="N246">
        <v>1</v>
      </c>
      <c r="O246">
        <v>2</v>
      </c>
      <c r="P246" s="3">
        <v>2</v>
      </c>
      <c r="Q246" s="3">
        <v>0</v>
      </c>
      <c r="R246" s="3">
        <v>36838</v>
      </c>
    </row>
    <row r="247" spans="1:18" x14ac:dyDescent="0.25">
      <c r="A247" s="1">
        <v>60000243</v>
      </c>
      <c r="B247" s="3">
        <v>37</v>
      </c>
      <c r="C247" s="3">
        <v>2</v>
      </c>
      <c r="D247" s="3">
        <v>1</v>
      </c>
      <c r="E247" s="3">
        <v>10</v>
      </c>
      <c r="F247">
        <v>1</v>
      </c>
      <c r="G247" s="3">
        <v>14</v>
      </c>
      <c r="H247" s="3">
        <v>2</v>
      </c>
      <c r="I247" s="3">
        <v>9</v>
      </c>
      <c r="J247" s="3">
        <v>6</v>
      </c>
      <c r="K247" s="3">
        <v>14</v>
      </c>
      <c r="L247" s="3">
        <v>2</v>
      </c>
      <c r="M247">
        <v>1</v>
      </c>
      <c r="N247">
        <v>2</v>
      </c>
      <c r="O247">
        <v>1</v>
      </c>
      <c r="P247" s="3">
        <v>1</v>
      </c>
      <c r="Q247" s="3">
        <v>7</v>
      </c>
      <c r="R247" s="3">
        <v>71082</v>
      </c>
    </row>
    <row r="248" spans="1:18" x14ac:dyDescent="0.25">
      <c r="A248" s="1">
        <v>60000244</v>
      </c>
      <c r="B248" s="3">
        <v>33</v>
      </c>
      <c r="C248" s="3">
        <v>1</v>
      </c>
      <c r="D248" s="3">
        <v>1</v>
      </c>
      <c r="E248" s="3">
        <v>9</v>
      </c>
      <c r="F248">
        <v>1</v>
      </c>
      <c r="G248" s="3">
        <v>27</v>
      </c>
      <c r="H248" s="3">
        <v>4</v>
      </c>
      <c r="I248" s="3">
        <v>16</v>
      </c>
      <c r="J248" s="3">
        <v>4</v>
      </c>
      <c r="K248" s="3">
        <v>48</v>
      </c>
      <c r="L248" s="3">
        <v>2</v>
      </c>
      <c r="M248">
        <v>2</v>
      </c>
      <c r="N248">
        <v>2</v>
      </c>
      <c r="O248">
        <v>1</v>
      </c>
      <c r="P248" s="3">
        <v>2</v>
      </c>
      <c r="Q248" s="3">
        <v>0</v>
      </c>
      <c r="R248" s="3">
        <v>50431</v>
      </c>
    </row>
    <row r="249" spans="1:18" x14ac:dyDescent="0.25">
      <c r="A249" s="1">
        <v>60000245</v>
      </c>
      <c r="B249" s="3">
        <v>27</v>
      </c>
      <c r="C249" s="3">
        <v>2</v>
      </c>
      <c r="D249" s="3">
        <v>1</v>
      </c>
      <c r="E249" s="3">
        <v>6</v>
      </c>
      <c r="F249" s="3">
        <v>1</v>
      </c>
      <c r="G249" s="3">
        <v>10</v>
      </c>
      <c r="H249" s="3">
        <v>1</v>
      </c>
      <c r="I249" s="3">
        <v>7</v>
      </c>
      <c r="J249" s="3">
        <v>12</v>
      </c>
      <c r="K249" s="3">
        <v>49</v>
      </c>
      <c r="L249" s="3">
        <v>3</v>
      </c>
      <c r="M249">
        <v>2</v>
      </c>
      <c r="N249">
        <v>1</v>
      </c>
      <c r="O249">
        <v>2</v>
      </c>
      <c r="P249" s="3">
        <v>1</v>
      </c>
      <c r="Q249" s="3">
        <v>5</v>
      </c>
      <c r="R249" s="3">
        <v>27793</v>
      </c>
    </row>
    <row r="250" spans="1:18" x14ac:dyDescent="0.25">
      <c r="A250" s="1">
        <v>60000246</v>
      </c>
      <c r="B250" s="3">
        <v>26</v>
      </c>
      <c r="C250" s="3">
        <v>1</v>
      </c>
      <c r="D250" s="3">
        <v>1</v>
      </c>
      <c r="E250" s="3">
        <v>9</v>
      </c>
      <c r="F250">
        <v>1</v>
      </c>
      <c r="G250" s="3">
        <v>11</v>
      </c>
      <c r="H250" s="3">
        <v>1</v>
      </c>
      <c r="I250" s="3">
        <v>13</v>
      </c>
      <c r="J250" s="3">
        <v>6</v>
      </c>
      <c r="K250" s="3">
        <v>41</v>
      </c>
      <c r="L250" s="3">
        <v>2</v>
      </c>
      <c r="M250">
        <v>2</v>
      </c>
      <c r="N250">
        <v>1</v>
      </c>
      <c r="O250">
        <v>1</v>
      </c>
      <c r="P250" s="3">
        <v>1</v>
      </c>
      <c r="Q250" s="3">
        <v>6</v>
      </c>
      <c r="R250" s="3">
        <v>53157</v>
      </c>
    </row>
    <row r="251" spans="1:18" x14ac:dyDescent="0.25">
      <c r="A251" s="1">
        <v>60000247</v>
      </c>
      <c r="B251" s="3">
        <v>54</v>
      </c>
      <c r="C251" s="3">
        <v>2</v>
      </c>
      <c r="D251" s="3">
        <v>1</v>
      </c>
      <c r="E251" s="3">
        <v>4</v>
      </c>
      <c r="F251">
        <v>1</v>
      </c>
      <c r="G251" s="3">
        <v>35</v>
      </c>
      <c r="H251" s="3">
        <v>5</v>
      </c>
      <c r="I251" s="3">
        <v>1</v>
      </c>
      <c r="J251" s="3">
        <v>7</v>
      </c>
      <c r="K251" s="3">
        <v>35</v>
      </c>
      <c r="L251" s="3">
        <v>1</v>
      </c>
      <c r="M251">
        <v>2</v>
      </c>
      <c r="N251">
        <v>1</v>
      </c>
      <c r="O251">
        <v>2</v>
      </c>
      <c r="P251" s="3">
        <v>1</v>
      </c>
      <c r="Q251" s="3">
        <v>0</v>
      </c>
      <c r="R251" s="3">
        <v>62433</v>
      </c>
    </row>
    <row r="252" spans="1:18" x14ac:dyDescent="0.25">
      <c r="A252" s="1">
        <v>60000248</v>
      </c>
      <c r="B252" s="3">
        <v>28</v>
      </c>
      <c r="C252" s="3">
        <v>1</v>
      </c>
      <c r="D252" s="3">
        <v>1</v>
      </c>
      <c r="E252" s="3">
        <v>7</v>
      </c>
      <c r="F252">
        <v>1</v>
      </c>
      <c r="G252" s="3">
        <v>30</v>
      </c>
      <c r="H252" s="3">
        <v>4</v>
      </c>
      <c r="I252" s="3">
        <v>11</v>
      </c>
      <c r="J252" s="3">
        <v>6</v>
      </c>
      <c r="K252" s="3">
        <v>33</v>
      </c>
      <c r="L252" s="3">
        <v>3</v>
      </c>
      <c r="M252">
        <v>2</v>
      </c>
      <c r="N252">
        <v>2</v>
      </c>
      <c r="O252">
        <v>2</v>
      </c>
      <c r="P252" s="3">
        <v>2</v>
      </c>
      <c r="Q252" s="3">
        <v>0</v>
      </c>
      <c r="R252" s="3">
        <v>25103</v>
      </c>
    </row>
    <row r="253" spans="1:18" x14ac:dyDescent="0.25">
      <c r="A253" s="1">
        <v>60000249</v>
      </c>
      <c r="B253" s="3">
        <v>24</v>
      </c>
      <c r="C253" s="3">
        <v>1</v>
      </c>
      <c r="D253" s="3">
        <v>1</v>
      </c>
      <c r="E253" s="3">
        <v>5</v>
      </c>
      <c r="F253" s="3">
        <v>1</v>
      </c>
      <c r="G253" s="3">
        <v>34</v>
      </c>
      <c r="H253" s="3">
        <v>5</v>
      </c>
      <c r="I253" s="3">
        <v>11</v>
      </c>
      <c r="J253" s="3">
        <v>6</v>
      </c>
      <c r="K253" s="3">
        <v>43</v>
      </c>
      <c r="L253" s="3">
        <v>2</v>
      </c>
      <c r="M253">
        <v>1</v>
      </c>
      <c r="N253">
        <v>2</v>
      </c>
      <c r="O253">
        <v>1</v>
      </c>
      <c r="P253" s="3">
        <v>2</v>
      </c>
      <c r="Q253" s="3">
        <v>0</v>
      </c>
      <c r="R253" s="3">
        <v>36428</v>
      </c>
    </row>
    <row r="254" spans="1:18" x14ac:dyDescent="0.25">
      <c r="A254" s="1">
        <v>60000250</v>
      </c>
      <c r="B254" s="3">
        <v>48</v>
      </c>
      <c r="C254" s="3">
        <v>2</v>
      </c>
      <c r="D254" s="3">
        <v>1</v>
      </c>
      <c r="E254" s="3">
        <v>4</v>
      </c>
      <c r="F254">
        <v>1</v>
      </c>
      <c r="G254" s="3">
        <v>19</v>
      </c>
      <c r="H254" s="3">
        <v>3</v>
      </c>
      <c r="I254" s="3">
        <v>8</v>
      </c>
      <c r="J254" s="3">
        <v>11</v>
      </c>
      <c r="K254" s="3">
        <v>16</v>
      </c>
      <c r="L254" s="3">
        <v>2</v>
      </c>
      <c r="M254">
        <v>2</v>
      </c>
      <c r="N254">
        <v>1</v>
      </c>
      <c r="O254">
        <v>2</v>
      </c>
      <c r="P254" s="3">
        <v>1</v>
      </c>
      <c r="Q254" s="3">
        <v>2</v>
      </c>
      <c r="R254" s="3">
        <v>44679</v>
      </c>
    </row>
    <row r="255" spans="1:18" x14ac:dyDescent="0.25">
      <c r="A255" s="1">
        <v>60000251</v>
      </c>
      <c r="B255" s="3">
        <v>26</v>
      </c>
      <c r="C255" s="3">
        <v>1</v>
      </c>
      <c r="D255" s="3">
        <v>2</v>
      </c>
      <c r="E255" s="3">
        <v>11</v>
      </c>
      <c r="F255">
        <v>1</v>
      </c>
      <c r="G255" s="3">
        <v>21</v>
      </c>
      <c r="H255" s="3">
        <v>3</v>
      </c>
      <c r="I255" s="3">
        <v>4</v>
      </c>
      <c r="J255" s="3">
        <v>1</v>
      </c>
      <c r="K255" s="3">
        <v>22</v>
      </c>
      <c r="L255" s="3">
        <v>3</v>
      </c>
      <c r="M255">
        <v>1</v>
      </c>
      <c r="N255">
        <v>1</v>
      </c>
      <c r="O255">
        <v>2</v>
      </c>
      <c r="P255" s="3">
        <v>2</v>
      </c>
      <c r="Q255" s="3">
        <v>0</v>
      </c>
      <c r="R255" s="3">
        <v>60136</v>
      </c>
    </row>
    <row r="256" spans="1:18" x14ac:dyDescent="0.25">
      <c r="A256" s="1">
        <v>60000252</v>
      </c>
      <c r="B256" s="3">
        <v>30</v>
      </c>
      <c r="C256" s="3">
        <v>1</v>
      </c>
      <c r="D256" s="3">
        <v>2</v>
      </c>
      <c r="E256" s="3">
        <v>11</v>
      </c>
      <c r="F256">
        <v>1</v>
      </c>
      <c r="G256" s="3">
        <v>20</v>
      </c>
      <c r="H256" s="3">
        <v>3</v>
      </c>
      <c r="I256" s="3">
        <v>7</v>
      </c>
      <c r="J256" s="3">
        <v>13</v>
      </c>
      <c r="K256" s="3">
        <v>43</v>
      </c>
      <c r="L256" s="3">
        <v>1</v>
      </c>
      <c r="M256">
        <v>2</v>
      </c>
      <c r="N256">
        <v>1</v>
      </c>
      <c r="O256">
        <v>1</v>
      </c>
      <c r="P256" s="3">
        <v>2</v>
      </c>
      <c r="Q256" s="3">
        <v>0</v>
      </c>
      <c r="R256" s="3">
        <v>45590</v>
      </c>
    </row>
    <row r="257" spans="1:18" x14ac:dyDescent="0.25">
      <c r="A257" s="1">
        <v>60000253</v>
      </c>
      <c r="B257" s="3">
        <v>31</v>
      </c>
      <c r="C257" s="3">
        <v>1</v>
      </c>
      <c r="D257" s="3">
        <v>1</v>
      </c>
      <c r="E257" s="3">
        <v>9</v>
      </c>
      <c r="F257" s="3">
        <v>1</v>
      </c>
      <c r="G257" s="3">
        <v>19</v>
      </c>
      <c r="H257" s="3">
        <v>3</v>
      </c>
      <c r="I257" s="3">
        <v>15</v>
      </c>
      <c r="J257" s="3">
        <v>10</v>
      </c>
      <c r="K257" s="3">
        <v>49</v>
      </c>
      <c r="L257" s="3">
        <v>3</v>
      </c>
      <c r="M257">
        <v>1</v>
      </c>
      <c r="N257">
        <v>2</v>
      </c>
      <c r="O257">
        <v>1</v>
      </c>
      <c r="P257" s="3">
        <v>1</v>
      </c>
      <c r="Q257" s="3">
        <v>3</v>
      </c>
      <c r="R257" s="3">
        <v>38361</v>
      </c>
    </row>
    <row r="258" spans="1:18" x14ac:dyDescent="0.25">
      <c r="A258" s="1">
        <v>60000254</v>
      </c>
      <c r="B258" s="3">
        <v>51</v>
      </c>
      <c r="C258" s="3">
        <v>2</v>
      </c>
      <c r="D258" s="3">
        <v>1</v>
      </c>
      <c r="E258" s="3">
        <v>3</v>
      </c>
      <c r="F258">
        <v>1</v>
      </c>
      <c r="G258" s="3">
        <v>35</v>
      </c>
      <c r="H258" s="3">
        <v>5</v>
      </c>
      <c r="I258" s="3">
        <v>3</v>
      </c>
      <c r="J258" s="3">
        <v>8</v>
      </c>
      <c r="K258" s="3">
        <v>14</v>
      </c>
      <c r="L258" s="3">
        <v>3</v>
      </c>
      <c r="M258">
        <v>1</v>
      </c>
      <c r="N258">
        <v>1</v>
      </c>
      <c r="O258">
        <v>2</v>
      </c>
      <c r="P258" s="3">
        <v>2</v>
      </c>
      <c r="Q258" s="3">
        <v>0</v>
      </c>
      <c r="R258" s="3">
        <v>42979</v>
      </c>
    </row>
    <row r="259" spans="1:18" x14ac:dyDescent="0.25">
      <c r="A259" s="1">
        <v>60000255</v>
      </c>
      <c r="B259" s="3">
        <v>56</v>
      </c>
      <c r="C259" s="3">
        <v>1</v>
      </c>
      <c r="D259" s="3">
        <v>2</v>
      </c>
      <c r="E259" s="3">
        <v>6</v>
      </c>
      <c r="F259">
        <v>1</v>
      </c>
      <c r="G259" s="3">
        <v>36</v>
      </c>
      <c r="H259" s="3">
        <v>5</v>
      </c>
      <c r="I259" s="3">
        <v>12</v>
      </c>
      <c r="J259" s="3">
        <v>8</v>
      </c>
      <c r="K259" s="3">
        <v>27</v>
      </c>
      <c r="L259" s="3">
        <v>2</v>
      </c>
      <c r="M259">
        <v>1</v>
      </c>
      <c r="N259">
        <v>2</v>
      </c>
      <c r="O259">
        <v>1</v>
      </c>
      <c r="P259" s="3">
        <v>2</v>
      </c>
      <c r="Q259" s="3">
        <v>0</v>
      </c>
      <c r="R259" s="3">
        <v>55189</v>
      </c>
    </row>
    <row r="260" spans="1:18" x14ac:dyDescent="0.25">
      <c r="A260" s="1">
        <v>60000256</v>
      </c>
      <c r="B260" s="3">
        <v>21</v>
      </c>
      <c r="C260" s="3">
        <v>1</v>
      </c>
      <c r="D260" s="3">
        <v>1</v>
      </c>
      <c r="E260" s="3">
        <v>12</v>
      </c>
      <c r="F260">
        <v>1</v>
      </c>
      <c r="G260" s="3">
        <v>15</v>
      </c>
      <c r="H260" s="3">
        <v>2</v>
      </c>
      <c r="I260" s="3">
        <v>11</v>
      </c>
      <c r="J260" s="3">
        <v>11</v>
      </c>
      <c r="K260" s="3">
        <v>43</v>
      </c>
      <c r="L260" s="3">
        <v>1</v>
      </c>
      <c r="M260">
        <v>2</v>
      </c>
      <c r="N260">
        <v>2</v>
      </c>
      <c r="O260">
        <v>2</v>
      </c>
      <c r="P260" s="3">
        <v>2</v>
      </c>
      <c r="Q260" s="3">
        <v>0</v>
      </c>
      <c r="R260" s="3">
        <v>44547</v>
      </c>
    </row>
    <row r="261" spans="1:18" x14ac:dyDescent="0.25">
      <c r="A261" s="1">
        <v>60000257</v>
      </c>
      <c r="B261" s="3">
        <v>60</v>
      </c>
      <c r="C261" s="3">
        <v>2</v>
      </c>
      <c r="D261" s="3">
        <v>2</v>
      </c>
      <c r="E261" s="3">
        <v>11</v>
      </c>
      <c r="F261" s="3">
        <v>1</v>
      </c>
      <c r="G261" s="3">
        <v>21</v>
      </c>
      <c r="H261" s="3">
        <v>3</v>
      </c>
      <c r="I261" s="3">
        <v>17</v>
      </c>
      <c r="J261" s="3">
        <v>3</v>
      </c>
      <c r="K261" s="3">
        <v>5</v>
      </c>
      <c r="L261" s="3">
        <v>2</v>
      </c>
      <c r="M261">
        <v>1</v>
      </c>
      <c r="N261">
        <v>2</v>
      </c>
      <c r="O261">
        <v>2</v>
      </c>
      <c r="P261" s="3">
        <v>2</v>
      </c>
      <c r="Q261" s="3">
        <v>0</v>
      </c>
      <c r="R261" s="3">
        <v>36625</v>
      </c>
    </row>
    <row r="262" spans="1:18" x14ac:dyDescent="0.25">
      <c r="A262" s="1">
        <v>60000258</v>
      </c>
      <c r="B262" s="3">
        <v>47</v>
      </c>
      <c r="C262" s="3">
        <v>1</v>
      </c>
      <c r="D262" s="3">
        <v>1</v>
      </c>
      <c r="E262" s="3">
        <v>5</v>
      </c>
      <c r="F262">
        <v>1</v>
      </c>
      <c r="G262" s="3">
        <v>33</v>
      </c>
      <c r="H262" s="3">
        <v>5</v>
      </c>
      <c r="I262" s="3">
        <v>13</v>
      </c>
      <c r="J262" s="3">
        <v>1</v>
      </c>
      <c r="K262" s="3">
        <v>5</v>
      </c>
      <c r="L262" s="3">
        <v>1</v>
      </c>
      <c r="M262">
        <v>2</v>
      </c>
      <c r="N262">
        <v>1</v>
      </c>
      <c r="O262">
        <v>2</v>
      </c>
      <c r="P262" s="3">
        <v>1</v>
      </c>
      <c r="Q262" s="3">
        <v>4</v>
      </c>
      <c r="R262" s="3">
        <v>51401</v>
      </c>
    </row>
    <row r="263" spans="1:18" x14ac:dyDescent="0.25">
      <c r="A263" s="1">
        <v>60000259</v>
      </c>
      <c r="B263" s="3">
        <v>63</v>
      </c>
      <c r="C263" s="3">
        <v>2</v>
      </c>
      <c r="D263" s="3">
        <v>1</v>
      </c>
      <c r="E263" s="3">
        <v>8</v>
      </c>
      <c r="F263">
        <v>1</v>
      </c>
      <c r="G263" s="3">
        <v>12</v>
      </c>
      <c r="H263" s="3">
        <v>2</v>
      </c>
      <c r="I263" s="3">
        <v>14</v>
      </c>
      <c r="J263" s="3">
        <v>5</v>
      </c>
      <c r="K263" s="3">
        <v>33</v>
      </c>
      <c r="L263" s="3">
        <v>1</v>
      </c>
      <c r="M263">
        <v>2</v>
      </c>
      <c r="N263">
        <v>1</v>
      </c>
      <c r="O263">
        <v>1</v>
      </c>
      <c r="P263" s="3">
        <v>1</v>
      </c>
      <c r="Q263" s="3">
        <v>4</v>
      </c>
      <c r="R263" s="3">
        <v>43733</v>
      </c>
    </row>
    <row r="264" spans="1:18" x14ac:dyDescent="0.25">
      <c r="A264" s="1">
        <v>60000260</v>
      </c>
      <c r="B264" s="3">
        <v>53</v>
      </c>
      <c r="C264" s="3">
        <v>1</v>
      </c>
      <c r="D264" s="3">
        <v>1</v>
      </c>
      <c r="E264" s="3">
        <v>7</v>
      </c>
      <c r="F264">
        <v>1</v>
      </c>
      <c r="G264" s="3">
        <v>19</v>
      </c>
      <c r="H264" s="3">
        <v>3</v>
      </c>
      <c r="I264" s="3">
        <v>15</v>
      </c>
      <c r="J264" s="3">
        <v>2</v>
      </c>
      <c r="K264" s="3">
        <v>48</v>
      </c>
      <c r="L264" s="3">
        <v>2</v>
      </c>
      <c r="M264">
        <v>2</v>
      </c>
      <c r="N264">
        <v>2</v>
      </c>
      <c r="O264">
        <v>2</v>
      </c>
      <c r="P264" s="3">
        <v>1</v>
      </c>
      <c r="Q264" s="3">
        <v>0</v>
      </c>
      <c r="R264" s="3">
        <v>52142</v>
      </c>
    </row>
    <row r="265" spans="1:18" x14ac:dyDescent="0.25">
      <c r="A265" s="1">
        <v>60000261</v>
      </c>
      <c r="B265" s="3">
        <v>64</v>
      </c>
      <c r="C265" s="3">
        <v>2</v>
      </c>
      <c r="D265" s="3">
        <v>1</v>
      </c>
      <c r="E265" s="3">
        <v>8</v>
      </c>
      <c r="F265" s="3">
        <v>1</v>
      </c>
      <c r="G265" s="3">
        <v>25</v>
      </c>
      <c r="H265" s="3">
        <v>4</v>
      </c>
      <c r="I265" s="3">
        <v>9</v>
      </c>
      <c r="J265" s="3">
        <v>6</v>
      </c>
      <c r="K265" s="3">
        <v>12</v>
      </c>
      <c r="L265" s="3">
        <v>3</v>
      </c>
      <c r="M265">
        <v>1</v>
      </c>
      <c r="N265">
        <v>2</v>
      </c>
      <c r="O265">
        <v>2</v>
      </c>
      <c r="P265" s="3">
        <v>1</v>
      </c>
      <c r="Q265" s="3">
        <v>0</v>
      </c>
      <c r="R265" s="3">
        <v>68355</v>
      </c>
    </row>
    <row r="266" spans="1:18" x14ac:dyDescent="0.25">
      <c r="A266" s="1">
        <v>60000262</v>
      </c>
      <c r="B266" s="3">
        <v>63</v>
      </c>
      <c r="C266" s="3">
        <v>1</v>
      </c>
      <c r="D266" s="3">
        <v>1</v>
      </c>
      <c r="E266" s="3">
        <v>7</v>
      </c>
      <c r="F266">
        <v>1</v>
      </c>
      <c r="G266" s="3">
        <v>35</v>
      </c>
      <c r="H266" s="3">
        <v>5</v>
      </c>
      <c r="I266" s="3">
        <v>1</v>
      </c>
      <c r="J266" s="3">
        <v>7</v>
      </c>
      <c r="K266" s="3">
        <v>7</v>
      </c>
      <c r="L266" s="3">
        <v>3</v>
      </c>
      <c r="M266">
        <v>1</v>
      </c>
      <c r="N266">
        <v>2</v>
      </c>
      <c r="O266">
        <v>1</v>
      </c>
      <c r="P266" s="3">
        <v>1</v>
      </c>
      <c r="Q266" s="3">
        <v>6</v>
      </c>
      <c r="R266" s="3">
        <v>64273</v>
      </c>
    </row>
    <row r="267" spans="1:18" x14ac:dyDescent="0.25">
      <c r="A267" s="1">
        <v>60000263</v>
      </c>
      <c r="B267" s="3">
        <v>47</v>
      </c>
      <c r="C267" s="3">
        <v>2</v>
      </c>
      <c r="D267" s="3">
        <v>1</v>
      </c>
      <c r="E267" s="3">
        <v>10</v>
      </c>
      <c r="F267">
        <v>1</v>
      </c>
      <c r="G267" s="3">
        <v>23</v>
      </c>
      <c r="H267" s="3">
        <v>3</v>
      </c>
      <c r="I267" s="3">
        <v>5</v>
      </c>
      <c r="J267" s="3">
        <v>10</v>
      </c>
      <c r="K267" s="3">
        <v>3</v>
      </c>
      <c r="L267" s="3">
        <v>1</v>
      </c>
      <c r="M267">
        <v>1</v>
      </c>
      <c r="N267">
        <v>2</v>
      </c>
      <c r="O267">
        <v>1</v>
      </c>
      <c r="P267" s="3">
        <v>2</v>
      </c>
      <c r="Q267" s="3">
        <v>0</v>
      </c>
      <c r="R267" s="3">
        <v>73415</v>
      </c>
    </row>
    <row r="268" spans="1:18" x14ac:dyDescent="0.25">
      <c r="A268" s="1">
        <v>60000264</v>
      </c>
      <c r="B268" s="3">
        <v>62</v>
      </c>
      <c r="C268" s="3">
        <v>1</v>
      </c>
      <c r="D268" s="3">
        <v>2</v>
      </c>
      <c r="E268" s="3">
        <v>7</v>
      </c>
      <c r="F268">
        <v>1</v>
      </c>
      <c r="G268" s="3">
        <v>32</v>
      </c>
      <c r="H268" s="3">
        <v>5</v>
      </c>
      <c r="I268" s="3">
        <v>14</v>
      </c>
      <c r="J268" s="3">
        <v>1</v>
      </c>
      <c r="K268" s="3">
        <v>30</v>
      </c>
      <c r="L268" s="3">
        <v>2</v>
      </c>
      <c r="M268">
        <v>2</v>
      </c>
      <c r="N268">
        <v>2</v>
      </c>
      <c r="O268">
        <v>2</v>
      </c>
      <c r="P268" s="3">
        <v>1</v>
      </c>
      <c r="Q268" s="3">
        <v>7</v>
      </c>
      <c r="R268" s="3">
        <v>28009</v>
      </c>
    </row>
    <row r="269" spans="1:18" x14ac:dyDescent="0.25">
      <c r="A269" s="1">
        <v>60000265</v>
      </c>
      <c r="B269" s="3">
        <v>22</v>
      </c>
      <c r="C269" s="3">
        <v>1</v>
      </c>
      <c r="D269" s="3">
        <v>1</v>
      </c>
      <c r="E269" s="3">
        <v>12</v>
      </c>
      <c r="F269" s="3">
        <v>1</v>
      </c>
      <c r="G269" s="3">
        <v>32</v>
      </c>
      <c r="H269" s="3">
        <v>5</v>
      </c>
      <c r="I269" s="3">
        <v>5</v>
      </c>
      <c r="J269" s="3">
        <v>2</v>
      </c>
      <c r="K269" s="3">
        <v>22</v>
      </c>
      <c r="L269" s="3">
        <v>1</v>
      </c>
      <c r="M269">
        <v>1</v>
      </c>
      <c r="N269">
        <v>2</v>
      </c>
      <c r="O269">
        <v>2</v>
      </c>
      <c r="P269" s="3">
        <v>2</v>
      </c>
      <c r="Q269" s="3">
        <v>0</v>
      </c>
      <c r="R269" s="3">
        <v>50117</v>
      </c>
    </row>
    <row r="270" spans="1:18" x14ac:dyDescent="0.25">
      <c r="A270" s="1">
        <v>60000266</v>
      </c>
      <c r="B270" s="3">
        <v>55</v>
      </c>
      <c r="C270" s="3">
        <v>2</v>
      </c>
      <c r="D270" s="3">
        <v>2</v>
      </c>
      <c r="E270" s="3">
        <v>3</v>
      </c>
      <c r="F270">
        <v>1</v>
      </c>
      <c r="G270" s="3">
        <v>24</v>
      </c>
      <c r="H270" s="3">
        <v>3</v>
      </c>
      <c r="I270" s="3">
        <v>6</v>
      </c>
      <c r="J270" s="3">
        <v>4</v>
      </c>
      <c r="K270" s="3">
        <v>47</v>
      </c>
      <c r="L270" s="3">
        <v>2</v>
      </c>
      <c r="M270">
        <v>1</v>
      </c>
      <c r="N270">
        <v>1</v>
      </c>
      <c r="O270">
        <v>1</v>
      </c>
      <c r="P270" s="3">
        <v>1</v>
      </c>
      <c r="Q270" s="3">
        <v>5</v>
      </c>
      <c r="R270" s="3">
        <v>73685</v>
      </c>
    </row>
    <row r="271" spans="1:18" x14ac:dyDescent="0.25">
      <c r="A271" s="1">
        <v>60000267</v>
      </c>
      <c r="B271" s="3">
        <v>23</v>
      </c>
      <c r="C271" s="3">
        <v>1</v>
      </c>
      <c r="D271" s="3">
        <v>2</v>
      </c>
      <c r="E271" s="3">
        <v>3</v>
      </c>
      <c r="F271">
        <v>1</v>
      </c>
      <c r="G271" s="3">
        <v>19</v>
      </c>
      <c r="H271" s="3">
        <v>3</v>
      </c>
      <c r="I271" s="3">
        <v>6</v>
      </c>
      <c r="J271" s="3">
        <v>9</v>
      </c>
      <c r="K271" s="3">
        <v>8</v>
      </c>
      <c r="L271" s="3">
        <v>2</v>
      </c>
      <c r="M271">
        <v>1</v>
      </c>
      <c r="N271">
        <v>1</v>
      </c>
      <c r="O271">
        <v>1</v>
      </c>
      <c r="P271" s="3">
        <v>1</v>
      </c>
      <c r="Q271" s="3">
        <v>3</v>
      </c>
      <c r="R271" s="3">
        <v>75872</v>
      </c>
    </row>
    <row r="272" spans="1:18" x14ac:dyDescent="0.25">
      <c r="A272" s="1">
        <v>60000268</v>
      </c>
      <c r="B272" s="3">
        <v>20</v>
      </c>
      <c r="C272" s="3">
        <v>2</v>
      </c>
      <c r="D272" s="3">
        <v>1</v>
      </c>
      <c r="E272" s="3">
        <v>1</v>
      </c>
      <c r="F272">
        <v>1</v>
      </c>
      <c r="G272" s="3">
        <v>35</v>
      </c>
      <c r="H272" s="3">
        <v>5</v>
      </c>
      <c r="I272" s="3">
        <v>6</v>
      </c>
      <c r="J272" s="3">
        <v>8</v>
      </c>
      <c r="K272" s="3">
        <v>42</v>
      </c>
      <c r="L272" s="3">
        <v>1</v>
      </c>
      <c r="M272">
        <v>1</v>
      </c>
      <c r="N272">
        <v>2</v>
      </c>
      <c r="O272">
        <v>2</v>
      </c>
      <c r="P272" s="3">
        <v>2</v>
      </c>
      <c r="Q272" s="3">
        <v>0</v>
      </c>
      <c r="R272" s="3">
        <v>81531</v>
      </c>
    </row>
    <row r="273" spans="1:18" x14ac:dyDescent="0.25">
      <c r="A273" s="1">
        <v>60000269</v>
      </c>
      <c r="B273" s="3">
        <v>64</v>
      </c>
      <c r="C273" s="3">
        <v>2</v>
      </c>
      <c r="D273" s="3">
        <v>2</v>
      </c>
      <c r="E273" s="3">
        <v>2</v>
      </c>
      <c r="F273" s="3">
        <v>1</v>
      </c>
      <c r="G273" s="3">
        <v>34</v>
      </c>
      <c r="H273" s="3">
        <v>5</v>
      </c>
      <c r="I273" s="3">
        <v>15</v>
      </c>
      <c r="J273" s="3">
        <v>12</v>
      </c>
      <c r="K273" s="3">
        <v>33</v>
      </c>
      <c r="L273" s="3">
        <v>3</v>
      </c>
      <c r="M273">
        <v>2</v>
      </c>
      <c r="N273">
        <v>1</v>
      </c>
      <c r="O273">
        <v>2</v>
      </c>
      <c r="P273" s="3">
        <v>1</v>
      </c>
      <c r="Q273" s="3">
        <v>5</v>
      </c>
      <c r="R273" s="3">
        <v>74132</v>
      </c>
    </row>
    <row r="274" spans="1:18" x14ac:dyDescent="0.25">
      <c r="A274" s="1">
        <v>60000270</v>
      </c>
      <c r="B274" s="3">
        <v>27</v>
      </c>
      <c r="C274" s="3">
        <v>2</v>
      </c>
      <c r="D274" s="3">
        <v>1</v>
      </c>
      <c r="E274" s="3">
        <v>9</v>
      </c>
      <c r="F274">
        <v>1</v>
      </c>
      <c r="G274" s="3">
        <v>33</v>
      </c>
      <c r="H274" s="3">
        <v>5</v>
      </c>
      <c r="I274" s="3">
        <v>4</v>
      </c>
      <c r="J274" s="3">
        <v>12</v>
      </c>
      <c r="K274" s="3">
        <v>25</v>
      </c>
      <c r="L274" s="3">
        <v>3</v>
      </c>
      <c r="M274">
        <v>2</v>
      </c>
      <c r="N274">
        <v>2</v>
      </c>
      <c r="O274">
        <v>2</v>
      </c>
      <c r="P274" s="3">
        <v>1</v>
      </c>
      <c r="Q274" s="3">
        <v>1</v>
      </c>
      <c r="R274" s="3">
        <v>42932</v>
      </c>
    </row>
    <row r="275" spans="1:18" x14ac:dyDescent="0.25">
      <c r="A275" s="1">
        <v>60000271</v>
      </c>
      <c r="B275" s="3">
        <v>48</v>
      </c>
      <c r="C275" s="3">
        <v>2</v>
      </c>
      <c r="D275" s="3">
        <v>2</v>
      </c>
      <c r="E275" s="3">
        <v>1</v>
      </c>
      <c r="F275">
        <v>1</v>
      </c>
      <c r="G275" s="3">
        <v>16</v>
      </c>
      <c r="H275" s="3">
        <v>2</v>
      </c>
      <c r="I275" s="3">
        <v>7</v>
      </c>
      <c r="J275" s="3">
        <v>13</v>
      </c>
      <c r="K275" s="3">
        <v>30</v>
      </c>
      <c r="L275" s="3">
        <v>2</v>
      </c>
      <c r="M275">
        <v>1</v>
      </c>
      <c r="N275">
        <v>2</v>
      </c>
      <c r="O275">
        <v>1</v>
      </c>
      <c r="P275" s="3">
        <v>2</v>
      </c>
      <c r="Q275" s="3">
        <v>0</v>
      </c>
      <c r="R275" s="3">
        <v>62947</v>
      </c>
    </row>
    <row r="276" spans="1:18" x14ac:dyDescent="0.25">
      <c r="A276" s="1">
        <v>60000272</v>
      </c>
      <c r="B276" s="3">
        <v>41</v>
      </c>
      <c r="C276" s="3">
        <v>2</v>
      </c>
      <c r="D276" s="3">
        <v>1</v>
      </c>
      <c r="E276" s="3">
        <v>9</v>
      </c>
      <c r="F276">
        <v>1</v>
      </c>
      <c r="G276" s="3">
        <v>17</v>
      </c>
      <c r="H276" s="3">
        <v>2</v>
      </c>
      <c r="I276" s="3">
        <v>8</v>
      </c>
      <c r="J276" s="3">
        <v>3</v>
      </c>
      <c r="K276" s="3">
        <v>50</v>
      </c>
      <c r="L276" s="3">
        <v>1</v>
      </c>
      <c r="M276">
        <v>1</v>
      </c>
      <c r="N276">
        <v>2</v>
      </c>
      <c r="O276">
        <v>1</v>
      </c>
      <c r="P276" s="3">
        <v>2</v>
      </c>
      <c r="Q276" s="3">
        <v>0</v>
      </c>
      <c r="R276" s="3">
        <v>56032</v>
      </c>
    </row>
    <row r="277" spans="1:18" x14ac:dyDescent="0.25">
      <c r="A277" s="1">
        <v>60000273</v>
      </c>
      <c r="B277" s="3">
        <v>39</v>
      </c>
      <c r="C277" s="3">
        <v>2</v>
      </c>
      <c r="D277" s="3">
        <v>2</v>
      </c>
      <c r="E277" s="3">
        <v>9</v>
      </c>
      <c r="F277" s="3">
        <v>1</v>
      </c>
      <c r="G277" s="3">
        <v>21</v>
      </c>
      <c r="H277" s="3">
        <v>3</v>
      </c>
      <c r="I277" s="3">
        <v>1</v>
      </c>
      <c r="J277" s="3">
        <v>9</v>
      </c>
      <c r="K277" s="3">
        <v>15</v>
      </c>
      <c r="L277" s="3">
        <v>2</v>
      </c>
      <c r="M277">
        <v>2</v>
      </c>
      <c r="N277">
        <v>1</v>
      </c>
      <c r="O277">
        <v>1</v>
      </c>
      <c r="P277" s="3">
        <v>2</v>
      </c>
      <c r="Q277" s="3">
        <v>0</v>
      </c>
      <c r="R277" s="3">
        <v>67233</v>
      </c>
    </row>
    <row r="278" spans="1:18" x14ac:dyDescent="0.25">
      <c r="A278" s="1">
        <v>60000274</v>
      </c>
      <c r="B278" s="3">
        <v>51</v>
      </c>
      <c r="C278" s="3">
        <v>1</v>
      </c>
      <c r="D278" s="3">
        <v>2</v>
      </c>
      <c r="E278" s="3">
        <v>8</v>
      </c>
      <c r="F278">
        <v>1</v>
      </c>
      <c r="G278" s="3">
        <v>27</v>
      </c>
      <c r="H278" s="3">
        <v>4</v>
      </c>
      <c r="I278" s="3">
        <v>5</v>
      </c>
      <c r="J278" s="3">
        <v>5</v>
      </c>
      <c r="K278" s="3">
        <v>12</v>
      </c>
      <c r="L278" s="3">
        <v>1</v>
      </c>
      <c r="M278">
        <v>1</v>
      </c>
      <c r="N278">
        <v>1</v>
      </c>
      <c r="O278">
        <v>1</v>
      </c>
      <c r="P278" s="3">
        <v>1</v>
      </c>
      <c r="Q278" s="3">
        <v>6</v>
      </c>
      <c r="R278" s="3">
        <v>42157</v>
      </c>
    </row>
    <row r="279" spans="1:18" x14ac:dyDescent="0.25">
      <c r="A279" s="1">
        <v>60000275</v>
      </c>
      <c r="B279" s="3">
        <v>64</v>
      </c>
      <c r="C279" s="3">
        <v>2</v>
      </c>
      <c r="D279" s="3">
        <v>1</v>
      </c>
      <c r="E279" s="3">
        <v>5</v>
      </c>
      <c r="F279">
        <v>1</v>
      </c>
      <c r="G279" s="3">
        <v>35</v>
      </c>
      <c r="H279" s="3">
        <v>5</v>
      </c>
      <c r="I279" s="3">
        <v>13</v>
      </c>
      <c r="J279" s="3">
        <v>1</v>
      </c>
      <c r="K279" s="3">
        <v>35</v>
      </c>
      <c r="L279" s="3">
        <v>2</v>
      </c>
      <c r="M279">
        <v>2</v>
      </c>
      <c r="N279">
        <v>1</v>
      </c>
      <c r="O279">
        <v>2</v>
      </c>
      <c r="P279" s="3">
        <v>1</v>
      </c>
      <c r="Q279" s="3">
        <v>2</v>
      </c>
      <c r="R279" s="3">
        <v>80127</v>
      </c>
    </row>
    <row r="280" spans="1:18" x14ac:dyDescent="0.25">
      <c r="A280" s="1">
        <v>60000276</v>
      </c>
      <c r="B280" s="3">
        <v>61</v>
      </c>
      <c r="C280" s="3">
        <v>2</v>
      </c>
      <c r="D280" s="3">
        <v>1</v>
      </c>
      <c r="E280" s="3">
        <v>11</v>
      </c>
      <c r="F280">
        <v>1</v>
      </c>
      <c r="G280" s="3">
        <v>22</v>
      </c>
      <c r="H280" s="3">
        <v>3</v>
      </c>
      <c r="I280" s="3">
        <v>6</v>
      </c>
      <c r="J280" s="3">
        <v>4</v>
      </c>
      <c r="K280" s="3">
        <v>16</v>
      </c>
      <c r="L280" s="3">
        <v>2</v>
      </c>
      <c r="M280">
        <v>1</v>
      </c>
      <c r="N280">
        <v>1</v>
      </c>
      <c r="O280">
        <v>1</v>
      </c>
      <c r="P280" s="3">
        <v>1</v>
      </c>
      <c r="Q280" s="3">
        <v>5</v>
      </c>
      <c r="R280" s="3">
        <v>63859</v>
      </c>
    </row>
    <row r="281" spans="1:18" x14ac:dyDescent="0.25">
      <c r="A281" s="1">
        <v>60000277</v>
      </c>
      <c r="B281" s="3">
        <v>21</v>
      </c>
      <c r="C281" s="3">
        <v>2</v>
      </c>
      <c r="D281" s="3">
        <v>1</v>
      </c>
      <c r="E281" s="3">
        <v>7</v>
      </c>
      <c r="F281" s="3">
        <v>1</v>
      </c>
      <c r="G281" s="3">
        <v>19</v>
      </c>
      <c r="H281" s="3">
        <v>3</v>
      </c>
      <c r="I281" s="3">
        <v>6</v>
      </c>
      <c r="J281" s="3">
        <v>7</v>
      </c>
      <c r="K281" s="3">
        <v>48</v>
      </c>
      <c r="L281" s="3">
        <v>2</v>
      </c>
      <c r="M281">
        <v>2</v>
      </c>
      <c r="N281">
        <v>2</v>
      </c>
      <c r="O281">
        <v>1</v>
      </c>
      <c r="P281" s="3">
        <v>1</v>
      </c>
      <c r="Q281" s="3">
        <v>4</v>
      </c>
      <c r="R281" s="3">
        <v>56370</v>
      </c>
    </row>
    <row r="282" spans="1:18" x14ac:dyDescent="0.25">
      <c r="A282" s="1">
        <v>60000278</v>
      </c>
      <c r="B282" s="3">
        <v>62</v>
      </c>
      <c r="C282" s="3">
        <v>1</v>
      </c>
      <c r="D282" s="3">
        <v>2</v>
      </c>
      <c r="E282" s="3">
        <v>5</v>
      </c>
      <c r="F282">
        <v>1</v>
      </c>
      <c r="G282" s="3">
        <v>35</v>
      </c>
      <c r="H282" s="3">
        <v>5</v>
      </c>
      <c r="I282" s="3">
        <v>5</v>
      </c>
      <c r="J282" s="3">
        <v>7</v>
      </c>
      <c r="K282" s="3">
        <v>15</v>
      </c>
      <c r="L282" s="3">
        <v>1</v>
      </c>
      <c r="M282">
        <v>2</v>
      </c>
      <c r="N282">
        <v>1</v>
      </c>
      <c r="O282">
        <v>1</v>
      </c>
      <c r="P282" s="3">
        <v>1</v>
      </c>
      <c r="Q282" s="3">
        <v>4</v>
      </c>
      <c r="R282" s="3">
        <v>45869</v>
      </c>
    </row>
    <row r="283" spans="1:18" x14ac:dyDescent="0.25">
      <c r="A283" s="1">
        <v>60000279</v>
      </c>
      <c r="B283" s="3">
        <v>35</v>
      </c>
      <c r="C283" s="3">
        <v>2</v>
      </c>
      <c r="D283" s="3">
        <v>1</v>
      </c>
      <c r="E283" s="3">
        <v>1</v>
      </c>
      <c r="F283">
        <v>1</v>
      </c>
      <c r="G283" s="3">
        <v>28</v>
      </c>
      <c r="H283" s="3">
        <v>4</v>
      </c>
      <c r="I283" s="3">
        <v>11</v>
      </c>
      <c r="J283" s="3">
        <v>1</v>
      </c>
      <c r="K283" s="3">
        <v>17</v>
      </c>
      <c r="L283" s="3">
        <v>1</v>
      </c>
      <c r="M283">
        <v>2</v>
      </c>
      <c r="N283">
        <v>2</v>
      </c>
      <c r="O283">
        <v>1</v>
      </c>
      <c r="P283" s="3">
        <v>1</v>
      </c>
      <c r="Q283" s="3">
        <v>0</v>
      </c>
      <c r="R283" s="3">
        <v>61650</v>
      </c>
    </row>
    <row r="284" spans="1:18" x14ac:dyDescent="0.25">
      <c r="A284" s="1">
        <v>60000280</v>
      </c>
      <c r="B284" s="3">
        <v>33</v>
      </c>
      <c r="C284" s="3">
        <v>1</v>
      </c>
      <c r="D284" s="3">
        <v>2</v>
      </c>
      <c r="E284" s="3">
        <v>4</v>
      </c>
      <c r="F284">
        <v>1</v>
      </c>
      <c r="G284" s="3">
        <v>19</v>
      </c>
      <c r="H284" s="3">
        <v>3</v>
      </c>
      <c r="I284" s="3">
        <v>17</v>
      </c>
      <c r="J284" s="3">
        <v>5</v>
      </c>
      <c r="K284" s="3">
        <v>4</v>
      </c>
      <c r="L284" s="3">
        <v>1</v>
      </c>
      <c r="M284">
        <v>2</v>
      </c>
      <c r="N284">
        <v>1</v>
      </c>
      <c r="O284">
        <v>1</v>
      </c>
      <c r="P284" s="3">
        <v>2</v>
      </c>
      <c r="Q284" s="3">
        <v>0</v>
      </c>
      <c r="R284" s="3">
        <v>54763</v>
      </c>
    </row>
    <row r="285" spans="1:18" x14ac:dyDescent="0.25">
      <c r="A285" s="1">
        <v>60000281</v>
      </c>
      <c r="B285" s="3">
        <v>32</v>
      </c>
      <c r="C285" s="3">
        <v>1</v>
      </c>
      <c r="D285" s="3">
        <v>1</v>
      </c>
      <c r="E285" s="3">
        <v>12</v>
      </c>
      <c r="F285" s="3">
        <v>1</v>
      </c>
      <c r="G285" s="3">
        <v>14</v>
      </c>
      <c r="H285" s="3">
        <v>2</v>
      </c>
      <c r="I285" s="3">
        <v>4</v>
      </c>
      <c r="J285" s="3">
        <v>9</v>
      </c>
      <c r="K285" s="3">
        <v>1</v>
      </c>
      <c r="L285" s="3">
        <v>2</v>
      </c>
      <c r="M285">
        <v>1</v>
      </c>
      <c r="N285">
        <v>1</v>
      </c>
      <c r="O285">
        <v>2</v>
      </c>
      <c r="P285" s="3">
        <v>2</v>
      </c>
      <c r="Q285" s="3">
        <v>0</v>
      </c>
      <c r="R285" s="3">
        <v>84890</v>
      </c>
    </row>
    <row r="286" spans="1:18" x14ac:dyDescent="0.25">
      <c r="A286" s="1">
        <v>60000282</v>
      </c>
      <c r="B286" s="3">
        <v>54</v>
      </c>
      <c r="C286" s="3">
        <v>2</v>
      </c>
      <c r="D286" s="3">
        <v>1</v>
      </c>
      <c r="E286" s="3">
        <v>10</v>
      </c>
      <c r="F286">
        <v>1</v>
      </c>
      <c r="G286" s="3">
        <v>11</v>
      </c>
      <c r="H286" s="3">
        <v>1</v>
      </c>
      <c r="I286" s="3">
        <v>12</v>
      </c>
      <c r="J286" s="3">
        <v>6</v>
      </c>
      <c r="K286" s="3">
        <v>23</v>
      </c>
      <c r="L286" s="3">
        <v>2</v>
      </c>
      <c r="M286">
        <v>1</v>
      </c>
      <c r="N286">
        <v>1</v>
      </c>
      <c r="O286">
        <v>2</v>
      </c>
      <c r="P286" s="3">
        <v>1</v>
      </c>
      <c r="Q286" s="3">
        <v>6</v>
      </c>
      <c r="R286" s="3">
        <v>62574</v>
      </c>
    </row>
    <row r="287" spans="1:18" x14ac:dyDescent="0.25">
      <c r="A287" s="1">
        <v>60000283</v>
      </c>
      <c r="B287" s="3">
        <v>45</v>
      </c>
      <c r="C287" s="3">
        <v>1</v>
      </c>
      <c r="D287" s="3">
        <v>2</v>
      </c>
      <c r="E287" s="3">
        <v>9</v>
      </c>
      <c r="F287">
        <v>1</v>
      </c>
      <c r="G287" s="3">
        <v>37</v>
      </c>
      <c r="H287" s="3">
        <v>5</v>
      </c>
      <c r="I287" s="3">
        <v>17</v>
      </c>
      <c r="J287" s="3">
        <v>6</v>
      </c>
      <c r="K287" s="3">
        <v>41</v>
      </c>
      <c r="L287" s="3">
        <v>1</v>
      </c>
      <c r="M287">
        <v>1</v>
      </c>
      <c r="N287">
        <v>2</v>
      </c>
      <c r="O287">
        <v>1</v>
      </c>
      <c r="P287" s="3">
        <v>2</v>
      </c>
      <c r="Q287" s="3">
        <v>0</v>
      </c>
      <c r="R287" s="3">
        <v>25808</v>
      </c>
    </row>
    <row r="288" spans="1:18" x14ac:dyDescent="0.25">
      <c r="A288" s="1">
        <v>60000284</v>
      </c>
      <c r="B288" s="3">
        <v>44</v>
      </c>
      <c r="C288" s="3">
        <v>1</v>
      </c>
      <c r="D288" s="3">
        <v>2</v>
      </c>
      <c r="E288" s="3">
        <v>2</v>
      </c>
      <c r="F288">
        <v>1</v>
      </c>
      <c r="G288" s="3">
        <v>16</v>
      </c>
      <c r="H288" s="3">
        <v>2</v>
      </c>
      <c r="I288" s="3">
        <v>17</v>
      </c>
      <c r="J288" s="3">
        <v>5</v>
      </c>
      <c r="K288" s="3">
        <v>13</v>
      </c>
      <c r="L288" s="3">
        <v>2</v>
      </c>
      <c r="M288">
        <v>2</v>
      </c>
      <c r="N288">
        <v>1</v>
      </c>
      <c r="O288">
        <v>2</v>
      </c>
      <c r="P288" s="3">
        <v>2</v>
      </c>
      <c r="Q288" s="3">
        <v>0</v>
      </c>
      <c r="R288" s="3">
        <v>40642</v>
      </c>
    </row>
    <row r="289" spans="1:18" x14ac:dyDescent="0.25">
      <c r="A289" s="1">
        <v>60000285</v>
      </c>
      <c r="B289" s="3">
        <v>37</v>
      </c>
      <c r="C289" s="3">
        <v>2</v>
      </c>
      <c r="D289" s="3">
        <v>1</v>
      </c>
      <c r="E289" s="3">
        <v>4</v>
      </c>
      <c r="F289" s="3">
        <v>1</v>
      </c>
      <c r="G289" s="3">
        <v>19</v>
      </c>
      <c r="H289" s="3">
        <v>3</v>
      </c>
      <c r="I289" s="3">
        <v>15</v>
      </c>
      <c r="J289" s="3">
        <v>4</v>
      </c>
      <c r="K289" s="3">
        <v>19</v>
      </c>
      <c r="L289" s="3">
        <v>1</v>
      </c>
      <c r="M289">
        <v>1</v>
      </c>
      <c r="N289">
        <v>2</v>
      </c>
      <c r="O289">
        <v>2</v>
      </c>
      <c r="P289" s="3">
        <v>2</v>
      </c>
      <c r="Q289" s="3">
        <v>0</v>
      </c>
      <c r="R289" s="3">
        <v>79634</v>
      </c>
    </row>
    <row r="290" spans="1:18" x14ac:dyDescent="0.25">
      <c r="A290" s="1">
        <v>60000286</v>
      </c>
      <c r="B290" s="3">
        <v>54</v>
      </c>
      <c r="C290" s="3">
        <v>2</v>
      </c>
      <c r="D290" s="3">
        <v>1</v>
      </c>
      <c r="E290" s="3">
        <v>6</v>
      </c>
      <c r="F290">
        <v>1</v>
      </c>
      <c r="G290" s="3">
        <v>25</v>
      </c>
      <c r="H290" s="3">
        <v>4</v>
      </c>
      <c r="I290" s="3">
        <v>12</v>
      </c>
      <c r="J290" s="3">
        <v>10</v>
      </c>
      <c r="K290" s="3">
        <v>48</v>
      </c>
      <c r="L290" s="3">
        <v>1</v>
      </c>
      <c r="M290">
        <v>2</v>
      </c>
      <c r="N290">
        <v>1</v>
      </c>
      <c r="O290">
        <v>1</v>
      </c>
      <c r="P290" s="3">
        <v>1</v>
      </c>
      <c r="Q290" s="3">
        <v>7</v>
      </c>
      <c r="R290" s="3">
        <v>45068</v>
      </c>
    </row>
    <row r="291" spans="1:18" x14ac:dyDescent="0.25">
      <c r="A291" s="1">
        <v>60000287</v>
      </c>
      <c r="B291" s="3">
        <v>60</v>
      </c>
      <c r="C291" s="3">
        <v>2</v>
      </c>
      <c r="D291" s="3">
        <v>1</v>
      </c>
      <c r="E291" s="3">
        <v>4</v>
      </c>
      <c r="F291">
        <v>1</v>
      </c>
      <c r="G291" s="3">
        <v>21</v>
      </c>
      <c r="H291" s="3">
        <v>3</v>
      </c>
      <c r="I291" s="3">
        <v>10</v>
      </c>
      <c r="J291" s="3">
        <v>9</v>
      </c>
      <c r="K291" s="3">
        <v>20</v>
      </c>
      <c r="L291" s="3">
        <v>1</v>
      </c>
      <c r="M291">
        <v>1</v>
      </c>
      <c r="N291">
        <v>2</v>
      </c>
      <c r="O291">
        <v>1</v>
      </c>
      <c r="P291" s="3">
        <v>2</v>
      </c>
      <c r="Q291" s="3">
        <v>0</v>
      </c>
      <c r="R291" s="3">
        <v>71844</v>
      </c>
    </row>
    <row r="292" spans="1:18" x14ac:dyDescent="0.25">
      <c r="A292" s="1">
        <v>60000288</v>
      </c>
      <c r="B292" s="3">
        <v>27</v>
      </c>
      <c r="C292" s="3">
        <v>1</v>
      </c>
      <c r="D292" s="3">
        <v>2</v>
      </c>
      <c r="E292" s="3">
        <v>3</v>
      </c>
      <c r="F292">
        <v>1</v>
      </c>
      <c r="G292" s="3">
        <v>27</v>
      </c>
      <c r="H292" s="3">
        <v>4</v>
      </c>
      <c r="I292" s="3">
        <v>10</v>
      </c>
      <c r="J292" s="3">
        <v>2</v>
      </c>
      <c r="K292" s="3">
        <v>13</v>
      </c>
      <c r="L292" s="3">
        <v>2</v>
      </c>
      <c r="M292">
        <v>1</v>
      </c>
      <c r="N292">
        <v>2</v>
      </c>
      <c r="O292">
        <v>1</v>
      </c>
      <c r="P292" s="3">
        <v>2</v>
      </c>
      <c r="Q292" s="3">
        <v>0</v>
      </c>
      <c r="R292" s="3">
        <v>23846</v>
      </c>
    </row>
    <row r="293" spans="1:18" x14ac:dyDescent="0.25">
      <c r="A293" s="1">
        <v>60000289</v>
      </c>
      <c r="B293" s="3">
        <v>58</v>
      </c>
      <c r="C293" s="3">
        <v>1</v>
      </c>
      <c r="D293" s="3">
        <v>1</v>
      </c>
      <c r="E293" s="3">
        <v>3</v>
      </c>
      <c r="F293" s="3">
        <v>1</v>
      </c>
      <c r="G293" s="3">
        <v>28</v>
      </c>
      <c r="H293" s="3">
        <v>4</v>
      </c>
      <c r="I293" s="3">
        <v>6</v>
      </c>
      <c r="J293" s="3">
        <v>3</v>
      </c>
      <c r="K293" s="3">
        <v>27</v>
      </c>
      <c r="L293" s="3">
        <v>2</v>
      </c>
      <c r="M293">
        <v>2</v>
      </c>
      <c r="N293">
        <v>1</v>
      </c>
      <c r="O293">
        <v>1</v>
      </c>
      <c r="P293" s="3">
        <v>2</v>
      </c>
      <c r="Q293" s="3">
        <v>0</v>
      </c>
      <c r="R293" s="3">
        <v>68805</v>
      </c>
    </row>
    <row r="294" spans="1:18" x14ac:dyDescent="0.25">
      <c r="A294" s="1">
        <v>60000290</v>
      </c>
      <c r="B294" s="3">
        <v>45</v>
      </c>
      <c r="C294" s="3">
        <v>2</v>
      </c>
      <c r="D294" s="3">
        <v>2</v>
      </c>
      <c r="E294" s="3">
        <v>10</v>
      </c>
      <c r="F294">
        <v>1</v>
      </c>
      <c r="G294" s="3">
        <v>30</v>
      </c>
      <c r="H294" s="3">
        <v>4</v>
      </c>
      <c r="I294" s="3">
        <v>16</v>
      </c>
      <c r="J294" s="3">
        <v>13</v>
      </c>
      <c r="K294" s="3">
        <v>41</v>
      </c>
      <c r="L294" s="3">
        <v>3</v>
      </c>
      <c r="M294">
        <v>2</v>
      </c>
      <c r="N294">
        <v>2</v>
      </c>
      <c r="O294">
        <v>1</v>
      </c>
      <c r="P294" s="3">
        <v>1</v>
      </c>
      <c r="Q294" s="3">
        <v>6</v>
      </c>
      <c r="R294" s="3">
        <v>79400</v>
      </c>
    </row>
    <row r="295" spans="1:18" x14ac:dyDescent="0.25">
      <c r="A295" s="1">
        <v>60000291</v>
      </c>
      <c r="B295" s="3">
        <v>58</v>
      </c>
      <c r="C295" s="3">
        <v>1</v>
      </c>
      <c r="D295" s="3">
        <v>1</v>
      </c>
      <c r="E295" s="3">
        <v>1</v>
      </c>
      <c r="F295">
        <v>1</v>
      </c>
      <c r="G295" s="3">
        <v>36</v>
      </c>
      <c r="H295" s="3">
        <v>5</v>
      </c>
      <c r="I295" s="3">
        <v>16</v>
      </c>
      <c r="J295" s="3">
        <v>1</v>
      </c>
      <c r="K295" s="3">
        <v>37</v>
      </c>
      <c r="L295" s="3">
        <v>2</v>
      </c>
      <c r="M295">
        <v>1</v>
      </c>
      <c r="N295">
        <v>2</v>
      </c>
      <c r="O295">
        <v>2</v>
      </c>
      <c r="P295" s="3">
        <v>1</v>
      </c>
      <c r="Q295" s="3">
        <v>3</v>
      </c>
      <c r="R295" s="3">
        <v>65258</v>
      </c>
    </row>
    <row r="296" spans="1:18" x14ac:dyDescent="0.25">
      <c r="A296" s="1">
        <v>60000292</v>
      </c>
      <c r="B296" s="3">
        <v>35</v>
      </c>
      <c r="C296" s="3">
        <v>1</v>
      </c>
      <c r="D296" s="3">
        <v>1</v>
      </c>
      <c r="E296" s="3">
        <v>8</v>
      </c>
      <c r="F296">
        <v>1</v>
      </c>
      <c r="G296" s="3">
        <v>13</v>
      </c>
      <c r="H296" s="3">
        <v>2</v>
      </c>
      <c r="I296" s="3">
        <v>12</v>
      </c>
      <c r="J296" s="3">
        <v>10</v>
      </c>
      <c r="K296" s="3">
        <v>48</v>
      </c>
      <c r="L296" s="3">
        <v>3</v>
      </c>
      <c r="M296">
        <v>2</v>
      </c>
      <c r="N296">
        <v>1</v>
      </c>
      <c r="O296">
        <v>2</v>
      </c>
      <c r="P296" s="3">
        <v>1</v>
      </c>
      <c r="Q296" s="3">
        <v>7</v>
      </c>
      <c r="R296" s="3">
        <v>79127</v>
      </c>
    </row>
    <row r="297" spans="1:18" x14ac:dyDescent="0.25">
      <c r="A297" s="1">
        <v>60000293</v>
      </c>
      <c r="B297" s="3">
        <v>40</v>
      </c>
      <c r="C297" s="3">
        <v>1</v>
      </c>
      <c r="D297" s="3">
        <v>2</v>
      </c>
      <c r="E297" s="3">
        <v>12</v>
      </c>
      <c r="F297" s="3">
        <v>1</v>
      </c>
      <c r="G297" s="3">
        <v>27</v>
      </c>
      <c r="H297" s="3">
        <v>4</v>
      </c>
      <c r="I297" s="3">
        <v>10</v>
      </c>
      <c r="J297" s="3">
        <v>12</v>
      </c>
      <c r="K297" s="3">
        <v>21</v>
      </c>
      <c r="L297" s="3">
        <v>1</v>
      </c>
      <c r="M297">
        <v>1</v>
      </c>
      <c r="N297">
        <v>2</v>
      </c>
      <c r="O297">
        <v>1</v>
      </c>
      <c r="P297" s="3">
        <v>2</v>
      </c>
      <c r="Q297" s="3">
        <v>0</v>
      </c>
      <c r="R297" s="3">
        <v>54971</v>
      </c>
    </row>
    <row r="298" spans="1:18" x14ac:dyDescent="0.25">
      <c r="A298" s="1">
        <v>60000294</v>
      </c>
      <c r="B298" s="3">
        <v>48</v>
      </c>
      <c r="C298" s="3">
        <v>2</v>
      </c>
      <c r="D298" s="3">
        <v>1</v>
      </c>
      <c r="E298" s="3">
        <v>8</v>
      </c>
      <c r="F298">
        <v>1</v>
      </c>
      <c r="G298" s="3">
        <v>27</v>
      </c>
      <c r="H298" s="3">
        <v>4</v>
      </c>
      <c r="I298" s="3">
        <v>3</v>
      </c>
      <c r="J298" s="3">
        <v>12</v>
      </c>
      <c r="K298" s="3">
        <v>50</v>
      </c>
      <c r="L298" s="3">
        <v>3</v>
      </c>
      <c r="M298">
        <v>2</v>
      </c>
      <c r="N298">
        <v>1</v>
      </c>
      <c r="O298">
        <v>1</v>
      </c>
      <c r="P298" s="3">
        <v>2</v>
      </c>
      <c r="Q298" s="3">
        <v>0</v>
      </c>
      <c r="R298" s="3">
        <v>35141</v>
      </c>
    </row>
    <row r="299" spans="1:18" x14ac:dyDescent="0.25">
      <c r="A299" s="1">
        <v>60000295</v>
      </c>
      <c r="B299" s="3">
        <v>56</v>
      </c>
      <c r="C299" s="3">
        <v>2</v>
      </c>
      <c r="D299" s="3">
        <v>2</v>
      </c>
      <c r="E299" s="3">
        <v>12</v>
      </c>
      <c r="F299">
        <v>1</v>
      </c>
      <c r="G299" s="3">
        <v>27</v>
      </c>
      <c r="H299" s="3">
        <v>4</v>
      </c>
      <c r="I299" s="3">
        <v>7</v>
      </c>
      <c r="J299" s="3">
        <v>5</v>
      </c>
      <c r="K299" s="3">
        <v>25</v>
      </c>
      <c r="L299" s="3">
        <v>3</v>
      </c>
      <c r="M299">
        <v>2</v>
      </c>
      <c r="N299">
        <v>2</v>
      </c>
      <c r="O299">
        <v>1</v>
      </c>
      <c r="P299" s="3">
        <v>2</v>
      </c>
      <c r="Q299" s="3">
        <v>0</v>
      </c>
      <c r="R299" s="3">
        <v>31060</v>
      </c>
    </row>
    <row r="300" spans="1:18" x14ac:dyDescent="0.25">
      <c r="A300" s="1">
        <v>60000296</v>
      </c>
      <c r="B300" s="3">
        <v>36</v>
      </c>
      <c r="C300" s="3">
        <v>1</v>
      </c>
      <c r="D300" s="3">
        <v>2</v>
      </c>
      <c r="E300" s="3">
        <v>3</v>
      </c>
      <c r="F300">
        <v>1</v>
      </c>
      <c r="G300" s="3">
        <v>13</v>
      </c>
      <c r="H300" s="3">
        <v>2</v>
      </c>
      <c r="I300" s="3">
        <v>3</v>
      </c>
      <c r="J300" s="3">
        <v>1</v>
      </c>
      <c r="K300" s="3">
        <v>42</v>
      </c>
      <c r="L300" s="3">
        <v>2</v>
      </c>
      <c r="M300">
        <v>1</v>
      </c>
      <c r="N300">
        <v>2</v>
      </c>
      <c r="O300">
        <v>1</v>
      </c>
      <c r="P300" s="3">
        <v>1</v>
      </c>
      <c r="Q300" s="3">
        <v>0</v>
      </c>
      <c r="R300" s="3">
        <v>66888</v>
      </c>
    </row>
    <row r="301" spans="1:18" x14ac:dyDescent="0.25">
      <c r="A301" s="1">
        <v>60000297</v>
      </c>
      <c r="B301" s="3">
        <v>40</v>
      </c>
      <c r="C301" s="3">
        <v>2</v>
      </c>
      <c r="D301" s="3">
        <v>2</v>
      </c>
      <c r="E301" s="3">
        <v>3</v>
      </c>
      <c r="F301" s="3">
        <v>1</v>
      </c>
      <c r="G301" s="3">
        <v>16</v>
      </c>
      <c r="H301" s="3">
        <v>2</v>
      </c>
      <c r="I301" s="3">
        <v>2</v>
      </c>
      <c r="J301" s="3">
        <v>7</v>
      </c>
      <c r="K301" s="3">
        <v>3</v>
      </c>
      <c r="L301" s="3">
        <v>2</v>
      </c>
      <c r="M301">
        <v>2</v>
      </c>
      <c r="N301">
        <v>1</v>
      </c>
      <c r="O301">
        <v>2</v>
      </c>
      <c r="P301" s="3">
        <v>2</v>
      </c>
      <c r="Q301" s="3">
        <v>0</v>
      </c>
      <c r="R301" s="3">
        <v>31251</v>
      </c>
    </row>
    <row r="302" spans="1:18" x14ac:dyDescent="0.25">
      <c r="A302" s="1">
        <v>60000298</v>
      </c>
      <c r="B302" s="3">
        <v>49</v>
      </c>
      <c r="C302" s="3">
        <v>1</v>
      </c>
      <c r="D302" s="3">
        <v>1</v>
      </c>
      <c r="E302" s="3">
        <v>5</v>
      </c>
      <c r="F302">
        <v>1</v>
      </c>
      <c r="G302" s="3">
        <v>32</v>
      </c>
      <c r="H302" s="3">
        <v>5</v>
      </c>
      <c r="I302" s="3">
        <v>7</v>
      </c>
      <c r="J302" s="3">
        <v>4</v>
      </c>
      <c r="K302" s="3">
        <v>26</v>
      </c>
      <c r="L302" s="3">
        <v>2</v>
      </c>
      <c r="M302">
        <v>1</v>
      </c>
      <c r="N302">
        <v>2</v>
      </c>
      <c r="O302">
        <v>2</v>
      </c>
      <c r="P302" s="3">
        <v>1</v>
      </c>
      <c r="Q302" s="3">
        <v>5</v>
      </c>
      <c r="R302" s="3">
        <v>71949</v>
      </c>
    </row>
    <row r="303" spans="1:18" x14ac:dyDescent="0.25">
      <c r="A303" s="1">
        <v>60000299</v>
      </c>
      <c r="B303" s="3">
        <v>47</v>
      </c>
      <c r="C303" s="3">
        <v>1</v>
      </c>
      <c r="D303" s="3">
        <v>1</v>
      </c>
      <c r="E303" s="3">
        <v>12</v>
      </c>
      <c r="F303">
        <v>1</v>
      </c>
      <c r="G303" s="3">
        <v>10</v>
      </c>
      <c r="H303" s="3">
        <v>1</v>
      </c>
      <c r="I303" s="3">
        <v>17</v>
      </c>
      <c r="J303" s="3">
        <v>10</v>
      </c>
      <c r="K303" s="3">
        <v>38</v>
      </c>
      <c r="L303" s="3">
        <v>3</v>
      </c>
      <c r="M303">
        <v>2</v>
      </c>
      <c r="N303">
        <v>1</v>
      </c>
      <c r="O303">
        <v>1</v>
      </c>
      <c r="P303" s="3">
        <v>1</v>
      </c>
      <c r="Q303" s="3">
        <v>3</v>
      </c>
      <c r="R303" s="3">
        <v>78768</v>
      </c>
    </row>
    <row r="304" spans="1:18" x14ac:dyDescent="0.25">
      <c r="A304" s="1">
        <v>60000300</v>
      </c>
      <c r="B304" s="3">
        <v>27</v>
      </c>
      <c r="C304" s="3">
        <v>2</v>
      </c>
      <c r="D304" s="3">
        <v>2</v>
      </c>
      <c r="E304" s="3">
        <v>9</v>
      </c>
      <c r="F304">
        <v>1</v>
      </c>
      <c r="G304" s="3">
        <v>29</v>
      </c>
      <c r="H304" s="3">
        <v>4</v>
      </c>
      <c r="I304" s="3">
        <v>11</v>
      </c>
      <c r="J304" s="3">
        <v>2</v>
      </c>
      <c r="K304" s="3">
        <v>10</v>
      </c>
      <c r="L304" s="3">
        <v>2</v>
      </c>
      <c r="M304">
        <v>1</v>
      </c>
      <c r="N304">
        <v>1</v>
      </c>
      <c r="O304">
        <v>2</v>
      </c>
      <c r="P304" s="3">
        <v>2</v>
      </c>
      <c r="Q304" s="3">
        <v>0</v>
      </c>
      <c r="R304" s="3">
        <v>66516</v>
      </c>
    </row>
    <row r="305" spans="1:18" x14ac:dyDescent="0.25">
      <c r="A305" s="1">
        <v>60000301</v>
      </c>
      <c r="B305" s="3">
        <v>64</v>
      </c>
      <c r="C305" s="3">
        <v>1</v>
      </c>
      <c r="D305" s="3">
        <v>1</v>
      </c>
      <c r="E305" s="3">
        <v>12</v>
      </c>
      <c r="F305" s="3">
        <v>1</v>
      </c>
      <c r="G305" s="3">
        <v>25</v>
      </c>
      <c r="H305" s="3">
        <v>4</v>
      </c>
      <c r="I305" s="3">
        <v>15</v>
      </c>
      <c r="J305" s="3">
        <v>10</v>
      </c>
      <c r="K305" s="3">
        <v>16</v>
      </c>
      <c r="L305" s="3">
        <v>1</v>
      </c>
      <c r="M305">
        <v>2</v>
      </c>
      <c r="N305">
        <v>1</v>
      </c>
      <c r="O305">
        <v>2</v>
      </c>
      <c r="P305" s="3">
        <v>2</v>
      </c>
      <c r="Q305" s="3">
        <v>0</v>
      </c>
      <c r="R305" s="3">
        <v>80286</v>
      </c>
    </row>
    <row r="306" spans="1:18" x14ac:dyDescent="0.25">
      <c r="A306" s="1">
        <v>60000302</v>
      </c>
      <c r="B306" s="3">
        <v>49</v>
      </c>
      <c r="C306" s="3">
        <v>2</v>
      </c>
      <c r="D306" s="3">
        <v>1</v>
      </c>
      <c r="E306" s="3">
        <v>10</v>
      </c>
      <c r="F306">
        <v>1</v>
      </c>
      <c r="G306" s="3">
        <v>36</v>
      </c>
      <c r="H306" s="3">
        <v>5</v>
      </c>
      <c r="I306" s="3">
        <v>15</v>
      </c>
      <c r="J306" s="3">
        <v>12</v>
      </c>
      <c r="K306" s="3">
        <v>33</v>
      </c>
      <c r="L306" s="3">
        <v>3</v>
      </c>
      <c r="M306">
        <v>2</v>
      </c>
      <c r="N306">
        <v>1</v>
      </c>
      <c r="O306">
        <v>2</v>
      </c>
      <c r="P306" s="3">
        <v>1</v>
      </c>
      <c r="Q306" s="3">
        <v>7</v>
      </c>
      <c r="R306" s="3">
        <v>27132</v>
      </c>
    </row>
    <row r="307" spans="1:18" x14ac:dyDescent="0.25">
      <c r="A307" s="1">
        <v>60000303</v>
      </c>
      <c r="B307" s="3">
        <v>45</v>
      </c>
      <c r="C307" s="3">
        <v>1</v>
      </c>
      <c r="D307" s="3">
        <v>2</v>
      </c>
      <c r="E307" s="3">
        <v>7</v>
      </c>
      <c r="F307">
        <v>1</v>
      </c>
      <c r="G307" s="3">
        <v>31</v>
      </c>
      <c r="H307" s="3">
        <v>4</v>
      </c>
      <c r="I307" s="3">
        <v>17</v>
      </c>
      <c r="J307" s="3">
        <v>5</v>
      </c>
      <c r="K307" s="3">
        <v>31</v>
      </c>
      <c r="L307" s="3">
        <v>2</v>
      </c>
      <c r="M307">
        <v>2</v>
      </c>
      <c r="N307">
        <v>1</v>
      </c>
      <c r="O307">
        <v>1</v>
      </c>
      <c r="P307" s="3">
        <v>1</v>
      </c>
      <c r="Q307" s="3">
        <v>5</v>
      </c>
      <c r="R307" s="3">
        <v>47731</v>
      </c>
    </row>
    <row r="308" spans="1:18" x14ac:dyDescent="0.25">
      <c r="A308" s="1">
        <v>60000304</v>
      </c>
      <c r="B308" s="3">
        <v>46</v>
      </c>
      <c r="C308" s="3">
        <v>1</v>
      </c>
      <c r="D308" s="3">
        <v>1</v>
      </c>
      <c r="E308" s="3">
        <v>7</v>
      </c>
      <c r="F308">
        <v>1</v>
      </c>
      <c r="G308" s="3">
        <v>33</v>
      </c>
      <c r="H308" s="3">
        <v>5</v>
      </c>
      <c r="I308" s="3">
        <v>14</v>
      </c>
      <c r="J308" s="3">
        <v>10</v>
      </c>
      <c r="K308" s="3">
        <v>19</v>
      </c>
      <c r="L308" s="3">
        <v>2</v>
      </c>
      <c r="M308">
        <v>2</v>
      </c>
      <c r="N308">
        <v>1</v>
      </c>
      <c r="O308">
        <v>1</v>
      </c>
      <c r="P308" s="3">
        <v>1</v>
      </c>
      <c r="Q308" s="3">
        <v>0</v>
      </c>
      <c r="R308" s="3">
        <v>36561</v>
      </c>
    </row>
    <row r="309" spans="1:18" x14ac:dyDescent="0.25">
      <c r="A309" s="1">
        <v>60000305</v>
      </c>
      <c r="B309" s="3">
        <v>55</v>
      </c>
      <c r="C309" s="3">
        <v>2</v>
      </c>
      <c r="D309" s="3">
        <v>1</v>
      </c>
      <c r="E309" s="3">
        <v>6</v>
      </c>
      <c r="F309" s="3">
        <v>1</v>
      </c>
      <c r="G309" s="3">
        <v>26</v>
      </c>
      <c r="H309" s="3">
        <v>4</v>
      </c>
      <c r="I309" s="3">
        <v>12</v>
      </c>
      <c r="J309" s="3">
        <v>9</v>
      </c>
      <c r="K309" s="3">
        <v>11</v>
      </c>
      <c r="L309" s="3">
        <v>3</v>
      </c>
      <c r="M309">
        <v>2</v>
      </c>
      <c r="N309">
        <v>1</v>
      </c>
      <c r="O309">
        <v>2</v>
      </c>
      <c r="P309" s="3">
        <v>2</v>
      </c>
      <c r="Q309" s="3">
        <v>0</v>
      </c>
      <c r="R309" s="3">
        <v>67604</v>
      </c>
    </row>
    <row r="310" spans="1:18" x14ac:dyDescent="0.25">
      <c r="A310" s="1">
        <v>60000306</v>
      </c>
      <c r="B310" s="3">
        <v>33</v>
      </c>
      <c r="C310" s="3">
        <v>2</v>
      </c>
      <c r="D310" s="3">
        <v>2</v>
      </c>
      <c r="E310" s="3">
        <v>4</v>
      </c>
      <c r="F310">
        <v>1</v>
      </c>
      <c r="G310" s="3">
        <v>13</v>
      </c>
      <c r="H310" s="3">
        <v>2</v>
      </c>
      <c r="I310" s="3">
        <v>9</v>
      </c>
      <c r="J310" s="3">
        <v>2</v>
      </c>
      <c r="K310" s="3">
        <v>30</v>
      </c>
      <c r="L310" s="3">
        <v>1</v>
      </c>
      <c r="M310">
        <v>2</v>
      </c>
      <c r="N310">
        <v>1</v>
      </c>
      <c r="O310">
        <v>2</v>
      </c>
      <c r="P310" s="3">
        <v>1</v>
      </c>
      <c r="Q310" s="3">
        <v>3</v>
      </c>
      <c r="R310" s="3">
        <v>65598</v>
      </c>
    </row>
    <row r="311" spans="1:18" x14ac:dyDescent="0.25">
      <c r="A311" s="1">
        <v>60000307</v>
      </c>
      <c r="B311" s="3">
        <v>59</v>
      </c>
      <c r="C311" s="3">
        <v>1</v>
      </c>
      <c r="D311" s="3">
        <v>1</v>
      </c>
      <c r="E311" s="3">
        <v>1</v>
      </c>
      <c r="F311">
        <v>1</v>
      </c>
      <c r="G311" s="3">
        <v>17</v>
      </c>
      <c r="H311" s="3">
        <v>2</v>
      </c>
      <c r="I311" s="3">
        <v>4</v>
      </c>
      <c r="J311" s="3">
        <v>13</v>
      </c>
      <c r="K311" s="3">
        <v>35</v>
      </c>
      <c r="L311" s="3">
        <v>1</v>
      </c>
      <c r="M311">
        <v>1</v>
      </c>
      <c r="N311">
        <v>2</v>
      </c>
      <c r="O311">
        <v>1</v>
      </c>
      <c r="P311" s="3">
        <v>1</v>
      </c>
      <c r="Q311" s="3">
        <v>0</v>
      </c>
      <c r="R311" s="3">
        <v>34810</v>
      </c>
    </row>
    <row r="312" spans="1:18" x14ac:dyDescent="0.25">
      <c r="A312" s="1">
        <v>60000308</v>
      </c>
      <c r="B312" s="3">
        <v>65</v>
      </c>
      <c r="C312" s="3">
        <v>1</v>
      </c>
      <c r="D312" s="3">
        <v>2</v>
      </c>
      <c r="E312" s="3">
        <v>1</v>
      </c>
      <c r="F312">
        <v>1</v>
      </c>
      <c r="G312" s="3">
        <v>32</v>
      </c>
      <c r="H312" s="3">
        <v>5</v>
      </c>
      <c r="I312" s="3">
        <v>7</v>
      </c>
      <c r="J312" s="3">
        <v>1</v>
      </c>
      <c r="K312" s="3">
        <v>19</v>
      </c>
      <c r="L312" s="3">
        <v>2</v>
      </c>
      <c r="M312">
        <v>1</v>
      </c>
      <c r="N312">
        <v>2</v>
      </c>
      <c r="O312">
        <v>1</v>
      </c>
      <c r="P312" s="3">
        <v>2</v>
      </c>
      <c r="Q312" s="3">
        <v>0</v>
      </c>
      <c r="R312" s="3">
        <v>71181</v>
      </c>
    </row>
    <row r="313" spans="1:18" x14ac:dyDescent="0.25">
      <c r="A313" s="1">
        <v>60000309</v>
      </c>
      <c r="B313" s="3">
        <v>59</v>
      </c>
      <c r="C313" s="3">
        <v>1</v>
      </c>
      <c r="D313" s="3">
        <v>2</v>
      </c>
      <c r="E313" s="3">
        <v>5</v>
      </c>
      <c r="F313" s="3">
        <v>1</v>
      </c>
      <c r="G313" s="3">
        <v>13</v>
      </c>
      <c r="H313" s="3">
        <v>2</v>
      </c>
      <c r="I313" s="3">
        <v>5</v>
      </c>
      <c r="J313" s="3">
        <v>12</v>
      </c>
      <c r="K313" s="3">
        <v>49</v>
      </c>
      <c r="L313" s="3">
        <v>3</v>
      </c>
      <c r="M313">
        <v>2</v>
      </c>
      <c r="N313">
        <v>2</v>
      </c>
      <c r="O313">
        <v>1</v>
      </c>
      <c r="P313" s="3">
        <v>2</v>
      </c>
      <c r="Q313" s="3">
        <v>0</v>
      </c>
      <c r="R313" s="3">
        <v>27743</v>
      </c>
    </row>
    <row r="314" spans="1:18" x14ac:dyDescent="0.25">
      <c r="A314" s="1">
        <v>60000310</v>
      </c>
      <c r="B314" s="3">
        <v>28</v>
      </c>
      <c r="C314" s="3">
        <v>2</v>
      </c>
      <c r="D314" s="3">
        <v>2</v>
      </c>
      <c r="E314" s="3">
        <v>3</v>
      </c>
      <c r="F314">
        <v>1</v>
      </c>
      <c r="G314" s="3">
        <v>26</v>
      </c>
      <c r="H314" s="3">
        <v>4</v>
      </c>
      <c r="I314" s="3">
        <v>9</v>
      </c>
      <c r="J314" s="3">
        <v>13</v>
      </c>
      <c r="K314" s="3">
        <v>41</v>
      </c>
      <c r="L314" s="3">
        <v>1</v>
      </c>
      <c r="M314">
        <v>1</v>
      </c>
      <c r="N314">
        <v>2</v>
      </c>
      <c r="O314">
        <v>2</v>
      </c>
      <c r="P314" s="3">
        <v>1</v>
      </c>
      <c r="Q314" s="3">
        <v>7</v>
      </c>
      <c r="R314" s="3">
        <v>33018</v>
      </c>
    </row>
    <row r="315" spans="1:18" x14ac:dyDescent="0.25">
      <c r="A315" s="1">
        <v>60000311</v>
      </c>
      <c r="B315" s="3">
        <v>20</v>
      </c>
      <c r="C315" s="3">
        <v>2</v>
      </c>
      <c r="D315" s="3">
        <v>1</v>
      </c>
      <c r="E315" s="3">
        <v>11</v>
      </c>
      <c r="F315">
        <v>1</v>
      </c>
      <c r="G315" s="3">
        <v>36</v>
      </c>
      <c r="H315" s="3">
        <v>5</v>
      </c>
      <c r="I315" s="3">
        <v>6</v>
      </c>
      <c r="J315" s="3">
        <v>7</v>
      </c>
      <c r="K315" s="3">
        <v>31</v>
      </c>
      <c r="L315" s="3">
        <v>3</v>
      </c>
      <c r="M315">
        <v>2</v>
      </c>
      <c r="N315">
        <v>2</v>
      </c>
      <c r="O315">
        <v>2</v>
      </c>
      <c r="P315" s="3">
        <v>1</v>
      </c>
      <c r="Q315" s="3">
        <v>4</v>
      </c>
      <c r="R315" s="3">
        <v>81977</v>
      </c>
    </row>
    <row r="316" spans="1:18" x14ac:dyDescent="0.25">
      <c r="A316" s="1">
        <v>60000312</v>
      </c>
      <c r="B316" s="3">
        <v>21</v>
      </c>
      <c r="C316" s="3">
        <v>1</v>
      </c>
      <c r="D316" s="3">
        <v>1</v>
      </c>
      <c r="E316" s="3">
        <v>5</v>
      </c>
      <c r="F316">
        <v>1</v>
      </c>
      <c r="G316" s="3">
        <v>17</v>
      </c>
      <c r="H316" s="3">
        <v>2</v>
      </c>
      <c r="I316" s="3">
        <v>2</v>
      </c>
      <c r="J316" s="3">
        <v>3</v>
      </c>
      <c r="K316" s="3">
        <v>21</v>
      </c>
      <c r="L316" s="3">
        <v>3</v>
      </c>
      <c r="M316">
        <v>1</v>
      </c>
      <c r="N316">
        <v>2</v>
      </c>
      <c r="O316">
        <v>2</v>
      </c>
      <c r="P316" s="3">
        <v>1</v>
      </c>
      <c r="Q316" s="3">
        <v>3</v>
      </c>
      <c r="R316" s="3">
        <v>40365</v>
      </c>
    </row>
    <row r="317" spans="1:18" x14ac:dyDescent="0.25">
      <c r="A317" s="1">
        <v>60000313</v>
      </c>
      <c r="B317" s="3">
        <v>54</v>
      </c>
      <c r="C317" s="3">
        <v>2</v>
      </c>
      <c r="D317" s="3">
        <v>1</v>
      </c>
      <c r="E317" s="3">
        <v>8</v>
      </c>
      <c r="F317" s="3">
        <v>1</v>
      </c>
      <c r="G317" s="3">
        <v>35</v>
      </c>
      <c r="H317" s="3">
        <v>5</v>
      </c>
      <c r="I317" s="3">
        <v>1</v>
      </c>
      <c r="J317" s="3">
        <v>10</v>
      </c>
      <c r="K317" s="3">
        <v>3</v>
      </c>
      <c r="L317" s="3">
        <v>2</v>
      </c>
      <c r="M317">
        <v>1</v>
      </c>
      <c r="N317">
        <v>1</v>
      </c>
      <c r="O317">
        <v>1</v>
      </c>
      <c r="P317" s="3">
        <v>1</v>
      </c>
      <c r="Q317" s="3">
        <v>0</v>
      </c>
      <c r="R317" s="3">
        <v>24396</v>
      </c>
    </row>
    <row r="318" spans="1:18" x14ac:dyDescent="0.25">
      <c r="A318" s="1">
        <v>60000314</v>
      </c>
      <c r="B318" s="3">
        <v>36</v>
      </c>
      <c r="C318" s="3">
        <v>1</v>
      </c>
      <c r="D318" s="3">
        <v>2</v>
      </c>
      <c r="E318" s="3">
        <v>1</v>
      </c>
      <c r="F318">
        <v>1</v>
      </c>
      <c r="G318" s="3">
        <v>34</v>
      </c>
      <c r="H318" s="3">
        <v>5</v>
      </c>
      <c r="I318" s="3">
        <v>7</v>
      </c>
      <c r="J318" s="3">
        <v>13</v>
      </c>
      <c r="K318" s="3">
        <v>16</v>
      </c>
      <c r="L318" s="3">
        <v>2</v>
      </c>
      <c r="M318">
        <v>1</v>
      </c>
      <c r="N318">
        <v>2</v>
      </c>
      <c r="O318">
        <v>2</v>
      </c>
      <c r="P318" s="3">
        <v>2</v>
      </c>
      <c r="Q318" s="3">
        <v>0</v>
      </c>
      <c r="R318" s="3">
        <v>60089</v>
      </c>
    </row>
    <row r="319" spans="1:18" x14ac:dyDescent="0.25">
      <c r="A319" s="1">
        <v>60000315</v>
      </c>
      <c r="B319" s="3">
        <v>65</v>
      </c>
      <c r="C319" s="3">
        <v>2</v>
      </c>
      <c r="D319" s="3">
        <v>2</v>
      </c>
      <c r="E319" s="3">
        <v>1</v>
      </c>
      <c r="F319">
        <v>1</v>
      </c>
      <c r="G319" s="3">
        <v>37</v>
      </c>
      <c r="H319" s="3">
        <v>5</v>
      </c>
      <c r="I319" s="3">
        <v>8</v>
      </c>
      <c r="J319" s="3">
        <v>6</v>
      </c>
      <c r="K319" s="3">
        <v>11</v>
      </c>
      <c r="L319" s="3">
        <v>2</v>
      </c>
      <c r="M319">
        <v>1</v>
      </c>
      <c r="N319">
        <v>1</v>
      </c>
      <c r="O319">
        <v>2</v>
      </c>
      <c r="P319" s="3">
        <v>2</v>
      </c>
      <c r="Q319" s="3">
        <v>0</v>
      </c>
      <c r="R319" s="3">
        <v>80153</v>
      </c>
    </row>
    <row r="320" spans="1:18" x14ac:dyDescent="0.25">
      <c r="A320" s="1">
        <v>60000316</v>
      </c>
      <c r="B320" s="3">
        <v>53</v>
      </c>
      <c r="C320" s="3">
        <v>2</v>
      </c>
      <c r="D320" s="3">
        <v>2</v>
      </c>
      <c r="E320" s="3">
        <v>7</v>
      </c>
      <c r="F320">
        <v>1</v>
      </c>
      <c r="G320" s="3">
        <v>17</v>
      </c>
      <c r="H320" s="3">
        <v>2</v>
      </c>
      <c r="I320" s="3">
        <v>13</v>
      </c>
      <c r="J320" s="3">
        <v>10</v>
      </c>
      <c r="K320" s="3">
        <v>10</v>
      </c>
      <c r="L320" s="3">
        <v>1</v>
      </c>
      <c r="M320">
        <v>1</v>
      </c>
      <c r="N320">
        <v>1</v>
      </c>
      <c r="O320">
        <v>1</v>
      </c>
      <c r="P320" s="3">
        <v>2</v>
      </c>
      <c r="Q320" s="3">
        <v>0</v>
      </c>
      <c r="R320" s="3">
        <v>30014</v>
      </c>
    </row>
    <row r="321" spans="1:18" x14ac:dyDescent="0.25">
      <c r="A321" s="1">
        <v>60000317</v>
      </c>
      <c r="B321" s="3">
        <v>30</v>
      </c>
      <c r="C321" s="3">
        <v>2</v>
      </c>
      <c r="D321" s="3">
        <v>1</v>
      </c>
      <c r="E321" s="3">
        <v>9</v>
      </c>
      <c r="F321" s="3">
        <v>1</v>
      </c>
      <c r="G321" s="3">
        <v>30</v>
      </c>
      <c r="H321" s="3">
        <v>4</v>
      </c>
      <c r="I321" s="3">
        <v>15</v>
      </c>
      <c r="J321" s="3">
        <v>8</v>
      </c>
      <c r="K321" s="3">
        <v>33</v>
      </c>
      <c r="L321" s="3">
        <v>1</v>
      </c>
      <c r="M321">
        <v>2</v>
      </c>
      <c r="N321">
        <v>2</v>
      </c>
      <c r="O321">
        <v>2</v>
      </c>
      <c r="P321" s="3">
        <v>1</v>
      </c>
      <c r="Q321" s="3">
        <v>3</v>
      </c>
      <c r="R321" s="3">
        <v>59887</v>
      </c>
    </row>
    <row r="322" spans="1:18" x14ac:dyDescent="0.25">
      <c r="A322" s="1">
        <v>60000318</v>
      </c>
      <c r="B322" s="3">
        <v>55</v>
      </c>
      <c r="C322" s="3">
        <v>2</v>
      </c>
      <c r="D322" s="3">
        <v>2</v>
      </c>
      <c r="E322" s="3">
        <v>9</v>
      </c>
      <c r="F322">
        <v>1</v>
      </c>
      <c r="G322" s="3">
        <v>19</v>
      </c>
      <c r="H322" s="3">
        <v>3</v>
      </c>
      <c r="I322" s="3">
        <v>15</v>
      </c>
      <c r="J322" s="3">
        <v>13</v>
      </c>
      <c r="K322" s="3">
        <v>48</v>
      </c>
      <c r="L322" s="3">
        <v>3</v>
      </c>
      <c r="M322">
        <v>2</v>
      </c>
      <c r="N322">
        <v>2</v>
      </c>
      <c r="O322">
        <v>1</v>
      </c>
      <c r="P322" s="3">
        <v>2</v>
      </c>
      <c r="Q322" s="3">
        <v>0</v>
      </c>
      <c r="R322" s="3">
        <v>54530</v>
      </c>
    </row>
    <row r="323" spans="1:18" x14ac:dyDescent="0.25">
      <c r="A323" s="1">
        <v>60000319</v>
      </c>
      <c r="B323" s="3">
        <v>22</v>
      </c>
      <c r="C323" s="3">
        <v>1</v>
      </c>
      <c r="D323" s="3">
        <v>1</v>
      </c>
      <c r="E323" s="3">
        <v>5</v>
      </c>
      <c r="F323">
        <v>1</v>
      </c>
      <c r="G323" s="3">
        <v>34</v>
      </c>
      <c r="H323" s="3">
        <v>5</v>
      </c>
      <c r="I323" s="3">
        <v>1</v>
      </c>
      <c r="J323" s="3">
        <v>12</v>
      </c>
      <c r="K323" s="3">
        <v>25</v>
      </c>
      <c r="L323" s="3">
        <v>2</v>
      </c>
      <c r="M323">
        <v>2</v>
      </c>
      <c r="N323">
        <v>1</v>
      </c>
      <c r="O323">
        <v>1</v>
      </c>
      <c r="P323" s="3">
        <v>2</v>
      </c>
      <c r="Q323" s="3">
        <v>0</v>
      </c>
      <c r="R323" s="3">
        <v>69493</v>
      </c>
    </row>
    <row r="324" spans="1:18" x14ac:dyDescent="0.25">
      <c r="A324" s="1">
        <v>60000320</v>
      </c>
      <c r="B324" s="3">
        <v>48</v>
      </c>
      <c r="C324" s="3">
        <v>1</v>
      </c>
      <c r="D324" s="3">
        <v>1</v>
      </c>
      <c r="E324" s="3">
        <v>6</v>
      </c>
      <c r="F324">
        <v>1</v>
      </c>
      <c r="G324" s="3">
        <v>25</v>
      </c>
      <c r="H324" s="3">
        <v>4</v>
      </c>
      <c r="I324" s="3">
        <v>4</v>
      </c>
      <c r="J324" s="3">
        <v>12</v>
      </c>
      <c r="K324" s="3">
        <v>31</v>
      </c>
      <c r="L324" s="3">
        <v>2</v>
      </c>
      <c r="M324">
        <v>2</v>
      </c>
      <c r="N324">
        <v>1</v>
      </c>
      <c r="O324">
        <v>2</v>
      </c>
      <c r="P324" s="3">
        <v>2</v>
      </c>
      <c r="Q324" s="3">
        <v>0</v>
      </c>
      <c r="R324" s="3">
        <v>59545</v>
      </c>
    </row>
    <row r="325" spans="1:18" x14ac:dyDescent="0.25">
      <c r="A325" s="1">
        <v>60000321</v>
      </c>
      <c r="B325" s="3">
        <v>53</v>
      </c>
      <c r="C325" s="3">
        <v>1</v>
      </c>
      <c r="D325" s="3">
        <v>1</v>
      </c>
      <c r="E325" s="3">
        <v>12</v>
      </c>
      <c r="F325" s="3">
        <v>1</v>
      </c>
      <c r="G325" s="3">
        <v>23</v>
      </c>
      <c r="H325" s="3">
        <v>3</v>
      </c>
      <c r="I325" s="3">
        <v>1</v>
      </c>
      <c r="J325" s="3">
        <v>4</v>
      </c>
      <c r="K325" s="3">
        <v>17</v>
      </c>
      <c r="L325" s="3">
        <v>2</v>
      </c>
      <c r="M325">
        <v>1</v>
      </c>
      <c r="N325">
        <v>1</v>
      </c>
      <c r="O325">
        <v>2</v>
      </c>
      <c r="P325" s="3">
        <v>2</v>
      </c>
      <c r="Q325" s="3">
        <v>0</v>
      </c>
      <c r="R325" s="3">
        <v>44617</v>
      </c>
    </row>
    <row r="326" spans="1:18" x14ac:dyDescent="0.25">
      <c r="A326" s="1">
        <v>60000322</v>
      </c>
      <c r="B326" s="3">
        <v>41</v>
      </c>
      <c r="C326" s="3">
        <v>2</v>
      </c>
      <c r="D326" s="3">
        <v>1</v>
      </c>
      <c r="E326" s="3">
        <v>8</v>
      </c>
      <c r="F326">
        <v>1</v>
      </c>
      <c r="G326" s="3">
        <v>16</v>
      </c>
      <c r="H326" s="3">
        <v>2</v>
      </c>
      <c r="I326" s="3">
        <v>9</v>
      </c>
      <c r="J326" s="3">
        <v>8</v>
      </c>
      <c r="K326" s="3">
        <v>25</v>
      </c>
      <c r="L326" s="3">
        <v>2</v>
      </c>
      <c r="M326">
        <v>2</v>
      </c>
      <c r="N326">
        <v>1</v>
      </c>
      <c r="O326">
        <v>1</v>
      </c>
      <c r="P326" s="3">
        <v>1</v>
      </c>
      <c r="Q326" s="3">
        <v>4</v>
      </c>
      <c r="R326" s="3">
        <v>73689</v>
      </c>
    </row>
    <row r="327" spans="1:18" x14ac:dyDescent="0.25">
      <c r="A327" s="1">
        <v>60000323</v>
      </c>
      <c r="B327" s="3">
        <v>59</v>
      </c>
      <c r="C327" s="3">
        <v>1</v>
      </c>
      <c r="D327" s="3">
        <v>2</v>
      </c>
      <c r="E327" s="3">
        <v>8</v>
      </c>
      <c r="F327">
        <v>1</v>
      </c>
      <c r="G327" s="3">
        <v>16</v>
      </c>
      <c r="H327" s="3">
        <v>2</v>
      </c>
      <c r="I327" s="3">
        <v>11</v>
      </c>
      <c r="J327" s="3">
        <v>1</v>
      </c>
      <c r="K327" s="3">
        <v>29</v>
      </c>
      <c r="L327" s="3">
        <v>1</v>
      </c>
      <c r="M327">
        <v>1</v>
      </c>
      <c r="N327">
        <v>2</v>
      </c>
      <c r="O327">
        <v>2</v>
      </c>
      <c r="P327" s="3">
        <v>1</v>
      </c>
      <c r="Q327" s="3">
        <v>6</v>
      </c>
      <c r="R327" s="3">
        <v>40223</v>
      </c>
    </row>
    <row r="328" spans="1:18" x14ac:dyDescent="0.25">
      <c r="A328" s="1">
        <v>60000324</v>
      </c>
      <c r="B328" s="3">
        <v>46</v>
      </c>
      <c r="C328" s="3">
        <v>2</v>
      </c>
      <c r="D328" s="3">
        <v>1</v>
      </c>
      <c r="E328" s="3">
        <v>1</v>
      </c>
      <c r="F328">
        <v>1</v>
      </c>
      <c r="G328" s="3">
        <v>18</v>
      </c>
      <c r="H328" s="3">
        <v>2</v>
      </c>
      <c r="I328" s="3">
        <v>16</v>
      </c>
      <c r="J328" s="3">
        <v>2</v>
      </c>
      <c r="K328" s="3">
        <v>39</v>
      </c>
      <c r="L328" s="3">
        <v>1</v>
      </c>
      <c r="M328">
        <v>2</v>
      </c>
      <c r="N328">
        <v>2</v>
      </c>
      <c r="O328">
        <v>1</v>
      </c>
      <c r="P328" s="3">
        <v>2</v>
      </c>
      <c r="Q328" s="3">
        <v>0</v>
      </c>
      <c r="R328" s="3">
        <v>57482</v>
      </c>
    </row>
    <row r="329" spans="1:18" x14ac:dyDescent="0.25">
      <c r="A329" s="1">
        <v>60000325</v>
      </c>
      <c r="B329" s="3">
        <v>30</v>
      </c>
      <c r="C329" s="3">
        <v>2</v>
      </c>
      <c r="D329" s="3">
        <v>1</v>
      </c>
      <c r="E329" s="3">
        <v>11</v>
      </c>
      <c r="F329" s="3">
        <v>1</v>
      </c>
      <c r="G329" s="3">
        <v>27</v>
      </c>
      <c r="H329" s="3">
        <v>4</v>
      </c>
      <c r="I329" s="3">
        <v>16</v>
      </c>
      <c r="J329" s="3">
        <v>2</v>
      </c>
      <c r="K329" s="3">
        <v>11</v>
      </c>
      <c r="L329" s="3">
        <v>3</v>
      </c>
      <c r="M329">
        <v>2</v>
      </c>
      <c r="N329">
        <v>2</v>
      </c>
      <c r="O329">
        <v>1</v>
      </c>
      <c r="P329" s="3">
        <v>1</v>
      </c>
      <c r="Q329" s="3">
        <v>7</v>
      </c>
      <c r="R329" s="3">
        <v>64281</v>
      </c>
    </row>
    <row r="330" spans="1:18" x14ac:dyDescent="0.25">
      <c r="A330" s="1">
        <v>60000326</v>
      </c>
      <c r="B330" s="3">
        <v>62</v>
      </c>
      <c r="C330" s="3">
        <v>2</v>
      </c>
      <c r="D330" s="3">
        <v>1</v>
      </c>
      <c r="E330" s="3">
        <v>11</v>
      </c>
      <c r="F330">
        <v>1</v>
      </c>
      <c r="G330" s="3">
        <v>12</v>
      </c>
      <c r="H330" s="3">
        <v>2</v>
      </c>
      <c r="I330" s="3">
        <v>17</v>
      </c>
      <c r="J330" s="3">
        <v>6</v>
      </c>
      <c r="K330" s="3">
        <v>39</v>
      </c>
      <c r="L330" s="3">
        <v>1</v>
      </c>
      <c r="M330">
        <v>2</v>
      </c>
      <c r="N330">
        <v>2</v>
      </c>
      <c r="O330">
        <v>2</v>
      </c>
      <c r="P330" s="3">
        <v>1</v>
      </c>
      <c r="Q330" s="3">
        <v>2</v>
      </c>
      <c r="R330" s="3">
        <v>71618</v>
      </c>
    </row>
    <row r="331" spans="1:18" x14ac:dyDescent="0.25">
      <c r="A331" s="1">
        <v>60000327</v>
      </c>
      <c r="B331" s="3">
        <v>27</v>
      </c>
      <c r="C331" s="3">
        <v>2</v>
      </c>
      <c r="D331" s="3">
        <v>1</v>
      </c>
      <c r="E331" s="3">
        <v>4</v>
      </c>
      <c r="F331">
        <v>1</v>
      </c>
      <c r="G331" s="3">
        <v>15</v>
      </c>
      <c r="H331" s="3">
        <v>2</v>
      </c>
      <c r="I331" s="3">
        <v>4</v>
      </c>
      <c r="J331" s="3">
        <v>8</v>
      </c>
      <c r="K331" s="3">
        <v>33</v>
      </c>
      <c r="L331" s="3">
        <v>3</v>
      </c>
      <c r="M331">
        <v>1</v>
      </c>
      <c r="N331">
        <v>1</v>
      </c>
      <c r="O331">
        <v>2</v>
      </c>
      <c r="P331" s="3">
        <v>2</v>
      </c>
      <c r="Q331" s="3">
        <v>0</v>
      </c>
      <c r="R331" s="3">
        <v>26318</v>
      </c>
    </row>
    <row r="332" spans="1:18" x14ac:dyDescent="0.25">
      <c r="A332" s="1">
        <v>60000328</v>
      </c>
      <c r="B332" s="3">
        <v>59</v>
      </c>
      <c r="C332" s="3">
        <v>1</v>
      </c>
      <c r="D332" s="3">
        <v>2</v>
      </c>
      <c r="E332" s="3">
        <v>11</v>
      </c>
      <c r="F332">
        <v>1</v>
      </c>
      <c r="G332" s="3">
        <v>10</v>
      </c>
      <c r="H332" s="3">
        <v>1</v>
      </c>
      <c r="I332" s="3">
        <v>14</v>
      </c>
      <c r="J332" s="3">
        <v>8</v>
      </c>
      <c r="K332" s="3">
        <v>6</v>
      </c>
      <c r="L332" s="3">
        <v>1</v>
      </c>
      <c r="M332">
        <v>1</v>
      </c>
      <c r="N332">
        <v>2</v>
      </c>
      <c r="O332">
        <v>2</v>
      </c>
      <c r="P332" s="3">
        <v>1</v>
      </c>
      <c r="Q332" s="3">
        <v>4</v>
      </c>
      <c r="R332" s="3">
        <v>46356</v>
      </c>
    </row>
    <row r="333" spans="1:18" x14ac:dyDescent="0.25">
      <c r="A333" s="1">
        <v>60000329</v>
      </c>
      <c r="B333" s="3">
        <v>29</v>
      </c>
      <c r="C333" s="3">
        <v>2</v>
      </c>
      <c r="D333" s="3">
        <v>2</v>
      </c>
      <c r="E333" s="3">
        <v>3</v>
      </c>
      <c r="F333" s="3">
        <v>1</v>
      </c>
      <c r="G333" s="3">
        <v>28</v>
      </c>
      <c r="H333" s="3">
        <v>4</v>
      </c>
      <c r="I333" s="3">
        <v>13</v>
      </c>
      <c r="J333" s="3">
        <v>2</v>
      </c>
      <c r="K333" s="3">
        <v>6</v>
      </c>
      <c r="L333" s="3">
        <v>1</v>
      </c>
      <c r="M333">
        <v>2</v>
      </c>
      <c r="N333">
        <v>2</v>
      </c>
      <c r="O333">
        <v>1</v>
      </c>
      <c r="P333" s="3">
        <v>2</v>
      </c>
      <c r="Q333" s="3">
        <v>0</v>
      </c>
      <c r="R333" s="3">
        <v>81647</v>
      </c>
    </row>
    <row r="334" spans="1:18" x14ac:dyDescent="0.25">
      <c r="A334" s="1">
        <v>60000330</v>
      </c>
      <c r="B334" s="3">
        <v>48</v>
      </c>
      <c r="C334" s="3">
        <v>2</v>
      </c>
      <c r="D334" s="3">
        <v>1</v>
      </c>
      <c r="E334" s="3">
        <v>4</v>
      </c>
      <c r="F334">
        <v>1</v>
      </c>
      <c r="G334" s="3">
        <v>14</v>
      </c>
      <c r="H334" s="3">
        <v>2</v>
      </c>
      <c r="I334" s="3">
        <v>17</v>
      </c>
      <c r="J334" s="3">
        <v>3</v>
      </c>
      <c r="K334" s="3">
        <v>5</v>
      </c>
      <c r="L334" s="3">
        <v>2</v>
      </c>
      <c r="M334">
        <v>1</v>
      </c>
      <c r="N334">
        <v>2</v>
      </c>
      <c r="O334">
        <v>1</v>
      </c>
      <c r="P334" s="3">
        <v>1</v>
      </c>
      <c r="Q334" s="3">
        <v>3</v>
      </c>
      <c r="R334" s="3">
        <v>54648</v>
      </c>
    </row>
    <row r="335" spans="1:18" x14ac:dyDescent="0.25">
      <c r="A335" s="1">
        <v>60000331</v>
      </c>
      <c r="B335" s="3">
        <v>21</v>
      </c>
      <c r="C335" s="3">
        <v>2</v>
      </c>
      <c r="D335" s="3">
        <v>1</v>
      </c>
      <c r="E335" s="3">
        <v>2</v>
      </c>
      <c r="F335">
        <v>1</v>
      </c>
      <c r="G335" s="3">
        <v>24</v>
      </c>
      <c r="H335" s="3">
        <v>3</v>
      </c>
      <c r="I335" s="3">
        <v>8</v>
      </c>
      <c r="J335" s="3">
        <v>13</v>
      </c>
      <c r="K335" s="3">
        <v>32</v>
      </c>
      <c r="L335" s="3">
        <v>1</v>
      </c>
      <c r="M335">
        <v>2</v>
      </c>
      <c r="N335">
        <v>1</v>
      </c>
      <c r="O335">
        <v>1</v>
      </c>
      <c r="P335" s="3">
        <v>1</v>
      </c>
      <c r="Q335" s="3">
        <v>7</v>
      </c>
      <c r="R335" s="3">
        <v>81653</v>
      </c>
    </row>
    <row r="336" spans="1:18" x14ac:dyDescent="0.25">
      <c r="A336" s="1">
        <v>60000332</v>
      </c>
      <c r="B336" s="3">
        <v>36</v>
      </c>
      <c r="C336" s="3">
        <v>2</v>
      </c>
      <c r="D336" s="3">
        <v>1</v>
      </c>
      <c r="E336" s="3">
        <v>6</v>
      </c>
      <c r="F336">
        <v>1</v>
      </c>
      <c r="G336" s="3">
        <v>38</v>
      </c>
      <c r="H336" s="3">
        <v>5</v>
      </c>
      <c r="I336" s="3">
        <v>6</v>
      </c>
      <c r="J336" s="3">
        <v>8</v>
      </c>
      <c r="K336" s="3">
        <v>1</v>
      </c>
      <c r="L336" s="3">
        <v>2</v>
      </c>
      <c r="M336">
        <v>2</v>
      </c>
      <c r="N336">
        <v>1</v>
      </c>
      <c r="O336">
        <v>1</v>
      </c>
      <c r="P336" s="3">
        <v>1</v>
      </c>
      <c r="Q336" s="3">
        <v>7</v>
      </c>
      <c r="R336" s="3">
        <v>77875</v>
      </c>
    </row>
    <row r="337" spans="1:18" x14ac:dyDescent="0.25">
      <c r="A337" s="1">
        <v>60000333</v>
      </c>
      <c r="B337" s="3">
        <v>25</v>
      </c>
      <c r="C337" s="3">
        <v>1</v>
      </c>
      <c r="D337" s="3">
        <v>1</v>
      </c>
      <c r="E337" s="3">
        <v>2</v>
      </c>
      <c r="F337" s="3">
        <v>1</v>
      </c>
      <c r="G337" s="3">
        <v>11</v>
      </c>
      <c r="H337" s="3">
        <v>1</v>
      </c>
      <c r="I337" s="3">
        <v>6</v>
      </c>
      <c r="J337" s="3">
        <v>2</v>
      </c>
      <c r="K337" s="3">
        <v>4</v>
      </c>
      <c r="L337" s="3">
        <v>3</v>
      </c>
      <c r="M337">
        <v>1</v>
      </c>
      <c r="N337">
        <v>2</v>
      </c>
      <c r="O337">
        <v>2</v>
      </c>
      <c r="P337" s="3">
        <v>2</v>
      </c>
      <c r="Q337" s="3">
        <v>0</v>
      </c>
      <c r="R337" s="3">
        <v>45273</v>
      </c>
    </row>
    <row r="338" spans="1:18" x14ac:dyDescent="0.25">
      <c r="A338" s="1">
        <v>60000334</v>
      </c>
      <c r="B338" s="3">
        <v>21</v>
      </c>
      <c r="C338" s="3">
        <v>1</v>
      </c>
      <c r="D338" s="3">
        <v>2</v>
      </c>
      <c r="E338" s="3">
        <v>12</v>
      </c>
      <c r="F338">
        <v>1</v>
      </c>
      <c r="G338" s="3">
        <v>25</v>
      </c>
      <c r="H338" s="3">
        <v>4</v>
      </c>
      <c r="I338" s="3">
        <v>4</v>
      </c>
      <c r="J338" s="3">
        <v>7</v>
      </c>
      <c r="K338" s="3">
        <v>40</v>
      </c>
      <c r="L338" s="3">
        <v>2</v>
      </c>
      <c r="M338">
        <v>1</v>
      </c>
      <c r="N338">
        <v>2</v>
      </c>
      <c r="O338">
        <v>2</v>
      </c>
      <c r="P338" s="3">
        <v>1</v>
      </c>
      <c r="Q338" s="3">
        <v>3</v>
      </c>
      <c r="R338" s="3">
        <v>61595</v>
      </c>
    </row>
    <row r="339" spans="1:18" x14ac:dyDescent="0.25">
      <c r="A339" s="1">
        <v>60000335</v>
      </c>
      <c r="B339" s="3">
        <v>58</v>
      </c>
      <c r="C339" s="3">
        <v>1</v>
      </c>
      <c r="D339" s="3">
        <v>1</v>
      </c>
      <c r="E339" s="3">
        <v>1</v>
      </c>
      <c r="F339">
        <v>1</v>
      </c>
      <c r="G339" s="3">
        <v>14</v>
      </c>
      <c r="H339" s="3">
        <v>2</v>
      </c>
      <c r="I339" s="3">
        <v>12</v>
      </c>
      <c r="J339" s="3">
        <v>1</v>
      </c>
      <c r="K339" s="3">
        <v>34</v>
      </c>
      <c r="L339" s="3">
        <v>2</v>
      </c>
      <c r="M339">
        <v>2</v>
      </c>
      <c r="N339">
        <v>1</v>
      </c>
      <c r="O339">
        <v>1</v>
      </c>
      <c r="P339" s="3">
        <v>2</v>
      </c>
      <c r="Q339" s="3">
        <v>0</v>
      </c>
      <c r="R339" s="3">
        <v>63891</v>
      </c>
    </row>
    <row r="340" spans="1:18" x14ac:dyDescent="0.25">
      <c r="A340" s="1">
        <v>60000336</v>
      </c>
      <c r="B340" s="3">
        <v>54</v>
      </c>
      <c r="C340" s="3">
        <v>2</v>
      </c>
      <c r="D340" s="3">
        <v>2</v>
      </c>
      <c r="E340" s="3">
        <v>1</v>
      </c>
      <c r="F340">
        <v>1</v>
      </c>
      <c r="G340" s="3">
        <v>35</v>
      </c>
      <c r="H340" s="3">
        <v>5</v>
      </c>
      <c r="I340" s="3">
        <v>13</v>
      </c>
      <c r="J340" s="3">
        <v>10</v>
      </c>
      <c r="K340" s="3">
        <v>9</v>
      </c>
      <c r="L340" s="3">
        <v>3</v>
      </c>
      <c r="M340">
        <v>2</v>
      </c>
      <c r="N340">
        <v>1</v>
      </c>
      <c r="O340">
        <v>1</v>
      </c>
      <c r="P340" s="3">
        <v>1</v>
      </c>
      <c r="Q340" s="3">
        <v>3</v>
      </c>
      <c r="R340" s="3">
        <v>82738</v>
      </c>
    </row>
    <row r="341" spans="1:18" x14ac:dyDescent="0.25">
      <c r="A341" s="1">
        <v>60000337</v>
      </c>
      <c r="B341" s="3">
        <v>22</v>
      </c>
      <c r="C341" s="3">
        <v>1</v>
      </c>
      <c r="D341" s="3">
        <v>2</v>
      </c>
      <c r="E341" s="3">
        <v>4</v>
      </c>
      <c r="F341" s="3">
        <v>1</v>
      </c>
      <c r="G341" s="3">
        <v>20</v>
      </c>
      <c r="H341" s="3">
        <v>3</v>
      </c>
      <c r="I341" s="3">
        <v>16</v>
      </c>
      <c r="J341" s="3">
        <v>11</v>
      </c>
      <c r="K341" s="3">
        <v>22</v>
      </c>
      <c r="L341" s="3">
        <v>3</v>
      </c>
      <c r="M341">
        <v>1</v>
      </c>
      <c r="N341">
        <v>1</v>
      </c>
      <c r="O341">
        <v>2</v>
      </c>
      <c r="P341" s="3">
        <v>1</v>
      </c>
      <c r="Q341" s="3">
        <v>0</v>
      </c>
      <c r="R341" s="3">
        <v>70406</v>
      </c>
    </row>
    <row r="342" spans="1:18" x14ac:dyDescent="0.25">
      <c r="A342" s="1">
        <v>60000338</v>
      </c>
      <c r="B342" s="3">
        <v>43</v>
      </c>
      <c r="C342" s="3">
        <v>2</v>
      </c>
      <c r="D342" s="3">
        <v>2</v>
      </c>
      <c r="E342" s="3">
        <v>12</v>
      </c>
      <c r="F342">
        <v>1</v>
      </c>
      <c r="G342" s="3">
        <v>24</v>
      </c>
      <c r="H342" s="3">
        <v>3</v>
      </c>
      <c r="I342" s="3">
        <v>1</v>
      </c>
      <c r="J342" s="3">
        <v>7</v>
      </c>
      <c r="K342" s="3">
        <v>29</v>
      </c>
      <c r="L342" s="3">
        <v>1</v>
      </c>
      <c r="M342">
        <v>1</v>
      </c>
      <c r="N342">
        <v>2</v>
      </c>
      <c r="O342">
        <v>1</v>
      </c>
      <c r="P342" s="3">
        <v>2</v>
      </c>
      <c r="Q342" s="3">
        <v>0</v>
      </c>
      <c r="R342" s="3">
        <v>32704</v>
      </c>
    </row>
    <row r="343" spans="1:18" x14ac:dyDescent="0.25">
      <c r="A343" s="1">
        <v>60000339</v>
      </c>
      <c r="B343" s="3">
        <v>41</v>
      </c>
      <c r="C343" s="3">
        <v>1</v>
      </c>
      <c r="D343" s="3">
        <v>1</v>
      </c>
      <c r="E343" s="3">
        <v>7</v>
      </c>
      <c r="F343">
        <v>1</v>
      </c>
      <c r="G343" s="3">
        <v>18</v>
      </c>
      <c r="H343" s="3">
        <v>2</v>
      </c>
      <c r="I343" s="3">
        <v>9</v>
      </c>
      <c r="J343" s="3">
        <v>1</v>
      </c>
      <c r="K343" s="3">
        <v>50</v>
      </c>
      <c r="L343" s="3">
        <v>3</v>
      </c>
      <c r="M343">
        <v>1</v>
      </c>
      <c r="N343">
        <v>2</v>
      </c>
      <c r="O343">
        <v>1</v>
      </c>
      <c r="P343" s="3">
        <v>1</v>
      </c>
      <c r="Q343" s="3">
        <v>5</v>
      </c>
      <c r="R343" s="3">
        <v>55853</v>
      </c>
    </row>
    <row r="344" spans="1:18" x14ac:dyDescent="0.25">
      <c r="A344" s="1">
        <v>60000340</v>
      </c>
      <c r="B344" s="3">
        <v>30</v>
      </c>
      <c r="C344" s="3">
        <v>2</v>
      </c>
      <c r="D344" s="3">
        <v>1</v>
      </c>
      <c r="E344" s="3">
        <v>8</v>
      </c>
      <c r="F344">
        <v>1</v>
      </c>
      <c r="G344" s="3">
        <v>21</v>
      </c>
      <c r="H344" s="3">
        <v>3</v>
      </c>
      <c r="I344" s="3">
        <v>14</v>
      </c>
      <c r="J344" s="3">
        <v>10</v>
      </c>
      <c r="K344" s="3">
        <v>9</v>
      </c>
      <c r="L344" s="3">
        <v>3</v>
      </c>
      <c r="M344">
        <v>1</v>
      </c>
      <c r="N344">
        <v>2</v>
      </c>
      <c r="O344">
        <v>2</v>
      </c>
      <c r="P344" s="3">
        <v>1</v>
      </c>
      <c r="Q344" s="3">
        <v>1</v>
      </c>
      <c r="R344" s="3">
        <v>68248</v>
      </c>
    </row>
    <row r="345" spans="1:18" x14ac:dyDescent="0.25">
      <c r="A345" s="1">
        <v>60000341</v>
      </c>
      <c r="B345" s="3">
        <v>20</v>
      </c>
      <c r="C345" s="3">
        <v>1</v>
      </c>
      <c r="D345" s="3">
        <v>2</v>
      </c>
      <c r="E345" s="3">
        <v>6</v>
      </c>
      <c r="F345" s="3">
        <v>1</v>
      </c>
      <c r="G345" s="3">
        <v>21</v>
      </c>
      <c r="H345" s="3">
        <v>3</v>
      </c>
      <c r="I345" s="3">
        <v>12</v>
      </c>
      <c r="J345" s="3">
        <v>5</v>
      </c>
      <c r="K345" s="3">
        <v>4</v>
      </c>
      <c r="L345" s="3">
        <v>3</v>
      </c>
      <c r="M345">
        <v>2</v>
      </c>
      <c r="N345">
        <v>2</v>
      </c>
      <c r="O345">
        <v>1</v>
      </c>
      <c r="P345" s="3">
        <v>1</v>
      </c>
      <c r="Q345" s="3">
        <v>7</v>
      </c>
      <c r="R345" s="3">
        <v>66416</v>
      </c>
    </row>
    <row r="346" spans="1:18" x14ac:dyDescent="0.25">
      <c r="A346" s="1">
        <v>60000342</v>
      </c>
      <c r="B346" s="3">
        <v>35</v>
      </c>
      <c r="C346" s="3">
        <v>1</v>
      </c>
      <c r="D346" s="3">
        <v>1</v>
      </c>
      <c r="E346" s="3">
        <v>3</v>
      </c>
      <c r="F346">
        <v>1</v>
      </c>
      <c r="G346" s="3">
        <v>31</v>
      </c>
      <c r="H346" s="3">
        <v>4</v>
      </c>
      <c r="I346" s="3">
        <v>1</v>
      </c>
      <c r="J346" s="3">
        <v>9</v>
      </c>
      <c r="K346" s="3">
        <v>42</v>
      </c>
      <c r="L346" s="3">
        <v>2</v>
      </c>
      <c r="M346">
        <v>2</v>
      </c>
      <c r="N346">
        <v>1</v>
      </c>
      <c r="O346">
        <v>2</v>
      </c>
      <c r="P346" s="3">
        <v>2</v>
      </c>
      <c r="Q346" s="3">
        <v>0</v>
      </c>
      <c r="R346" s="3">
        <v>30843</v>
      </c>
    </row>
    <row r="347" spans="1:18" x14ac:dyDescent="0.25">
      <c r="A347" s="1">
        <v>60000343</v>
      </c>
      <c r="B347" s="3">
        <v>47</v>
      </c>
      <c r="C347" s="3">
        <v>1</v>
      </c>
      <c r="D347" s="3">
        <v>1</v>
      </c>
      <c r="E347" s="3">
        <v>1</v>
      </c>
      <c r="F347">
        <v>1</v>
      </c>
      <c r="G347" s="3">
        <v>33</v>
      </c>
      <c r="H347" s="3">
        <v>5</v>
      </c>
      <c r="I347" s="3">
        <v>14</v>
      </c>
      <c r="J347" s="3">
        <v>8</v>
      </c>
      <c r="K347" s="3">
        <v>45</v>
      </c>
      <c r="L347" s="3">
        <v>2</v>
      </c>
      <c r="M347">
        <v>1</v>
      </c>
      <c r="N347">
        <v>2</v>
      </c>
      <c r="O347">
        <v>1</v>
      </c>
      <c r="P347" s="3">
        <v>1</v>
      </c>
      <c r="Q347" s="3">
        <v>1</v>
      </c>
      <c r="R347" s="3">
        <v>75103</v>
      </c>
    </row>
    <row r="348" spans="1:18" x14ac:dyDescent="0.25">
      <c r="A348" s="1">
        <v>60000344</v>
      </c>
      <c r="B348" s="3">
        <v>56</v>
      </c>
      <c r="C348" s="3">
        <v>1</v>
      </c>
      <c r="D348" s="3">
        <v>2</v>
      </c>
      <c r="E348" s="3">
        <v>3</v>
      </c>
      <c r="F348">
        <v>1</v>
      </c>
      <c r="G348" s="3">
        <v>30</v>
      </c>
      <c r="H348" s="3">
        <v>4</v>
      </c>
      <c r="I348" s="3">
        <v>4</v>
      </c>
      <c r="J348" s="3">
        <v>9</v>
      </c>
      <c r="K348" s="3">
        <v>50</v>
      </c>
      <c r="L348" s="3">
        <v>2</v>
      </c>
      <c r="M348">
        <v>1</v>
      </c>
      <c r="N348">
        <v>2</v>
      </c>
      <c r="O348">
        <v>1</v>
      </c>
      <c r="P348" s="3">
        <v>2</v>
      </c>
      <c r="Q348" s="3">
        <v>0</v>
      </c>
      <c r="R348" s="3">
        <v>25142</v>
      </c>
    </row>
    <row r="349" spans="1:18" x14ac:dyDescent="0.25">
      <c r="A349" s="1">
        <v>60000345</v>
      </c>
      <c r="B349" s="3">
        <v>45</v>
      </c>
      <c r="C349" s="3">
        <v>2</v>
      </c>
      <c r="D349" s="3">
        <v>1</v>
      </c>
      <c r="E349" s="3">
        <v>4</v>
      </c>
      <c r="F349" s="3">
        <v>1</v>
      </c>
      <c r="G349" s="3">
        <v>25</v>
      </c>
      <c r="H349" s="3">
        <v>4</v>
      </c>
      <c r="I349" s="3">
        <v>3</v>
      </c>
      <c r="J349" s="3">
        <v>5</v>
      </c>
      <c r="K349" s="3">
        <v>40</v>
      </c>
      <c r="L349" s="3">
        <v>3</v>
      </c>
      <c r="M349">
        <v>1</v>
      </c>
      <c r="N349">
        <v>1</v>
      </c>
      <c r="O349">
        <v>1</v>
      </c>
      <c r="P349" s="3">
        <v>2</v>
      </c>
      <c r="Q349" s="3">
        <v>0</v>
      </c>
      <c r="R349" s="3">
        <v>66513</v>
      </c>
    </row>
    <row r="350" spans="1:18" x14ac:dyDescent="0.25">
      <c r="A350" s="1">
        <v>60000346</v>
      </c>
      <c r="B350" s="3">
        <v>61</v>
      </c>
      <c r="C350" s="3">
        <v>1</v>
      </c>
      <c r="D350" s="3">
        <v>2</v>
      </c>
      <c r="E350" s="3">
        <v>12</v>
      </c>
      <c r="F350">
        <v>1</v>
      </c>
      <c r="G350" s="3">
        <v>24</v>
      </c>
      <c r="H350" s="3">
        <v>3</v>
      </c>
      <c r="I350" s="3">
        <v>17</v>
      </c>
      <c r="J350" s="3">
        <v>8</v>
      </c>
      <c r="K350" s="3">
        <v>46</v>
      </c>
      <c r="L350" s="3">
        <v>2</v>
      </c>
      <c r="M350">
        <v>1</v>
      </c>
      <c r="N350">
        <v>1</v>
      </c>
      <c r="O350">
        <v>1</v>
      </c>
      <c r="P350" s="3">
        <v>2</v>
      </c>
      <c r="Q350" s="3">
        <v>0</v>
      </c>
      <c r="R350" s="3">
        <v>27384</v>
      </c>
    </row>
    <row r="351" spans="1:18" x14ac:dyDescent="0.25">
      <c r="A351" s="1">
        <v>60000347</v>
      </c>
      <c r="B351" s="3">
        <v>39</v>
      </c>
      <c r="C351" s="3">
        <v>1</v>
      </c>
      <c r="D351" s="3">
        <v>1</v>
      </c>
      <c r="E351" s="3">
        <v>6</v>
      </c>
      <c r="F351">
        <v>1</v>
      </c>
      <c r="G351" s="3">
        <v>23</v>
      </c>
      <c r="H351" s="3">
        <v>3</v>
      </c>
      <c r="I351" s="3">
        <v>5</v>
      </c>
      <c r="J351" s="3">
        <v>13</v>
      </c>
      <c r="K351" s="3">
        <v>1</v>
      </c>
      <c r="L351" s="3">
        <v>2</v>
      </c>
      <c r="M351">
        <v>1</v>
      </c>
      <c r="N351">
        <v>1</v>
      </c>
      <c r="O351">
        <v>1</v>
      </c>
      <c r="P351" s="3">
        <v>1</v>
      </c>
      <c r="Q351" s="3">
        <v>6</v>
      </c>
      <c r="R351" s="3">
        <v>38490</v>
      </c>
    </row>
    <row r="352" spans="1:18" x14ac:dyDescent="0.25">
      <c r="A352" s="1">
        <v>60000348</v>
      </c>
      <c r="B352" s="3">
        <v>35</v>
      </c>
      <c r="C352" s="3">
        <v>1</v>
      </c>
      <c r="D352" s="3">
        <v>1</v>
      </c>
      <c r="E352" s="3">
        <v>10</v>
      </c>
      <c r="F352">
        <v>1</v>
      </c>
      <c r="G352" s="3">
        <v>11</v>
      </c>
      <c r="H352" s="3">
        <v>1</v>
      </c>
      <c r="I352" s="3">
        <v>2</v>
      </c>
      <c r="J352" s="3">
        <v>7</v>
      </c>
      <c r="K352" s="3">
        <v>33</v>
      </c>
      <c r="L352" s="3">
        <v>3</v>
      </c>
      <c r="M352">
        <v>1</v>
      </c>
      <c r="N352">
        <v>2</v>
      </c>
      <c r="O352">
        <v>2</v>
      </c>
      <c r="P352" s="3">
        <v>1</v>
      </c>
      <c r="Q352" s="3">
        <v>7</v>
      </c>
      <c r="R352" s="3">
        <v>82763</v>
      </c>
    </row>
    <row r="353" spans="1:18" x14ac:dyDescent="0.25">
      <c r="A353" s="1">
        <v>60000349</v>
      </c>
      <c r="B353" s="3">
        <v>61</v>
      </c>
      <c r="C353" s="3">
        <v>1</v>
      </c>
      <c r="D353" s="3">
        <v>1</v>
      </c>
      <c r="E353" s="3">
        <v>12</v>
      </c>
      <c r="F353" s="3">
        <v>1</v>
      </c>
      <c r="G353" s="3">
        <v>36</v>
      </c>
      <c r="H353" s="3">
        <v>5</v>
      </c>
      <c r="I353" s="3">
        <v>15</v>
      </c>
      <c r="J353" s="3">
        <v>8</v>
      </c>
      <c r="K353" s="3">
        <v>37</v>
      </c>
      <c r="L353" s="3">
        <v>1</v>
      </c>
      <c r="M353">
        <v>2</v>
      </c>
      <c r="N353">
        <v>2</v>
      </c>
      <c r="O353">
        <v>1</v>
      </c>
      <c r="P353" s="3">
        <v>1</v>
      </c>
      <c r="Q353" s="3">
        <v>3</v>
      </c>
      <c r="R353" s="3">
        <v>43345</v>
      </c>
    </row>
    <row r="354" spans="1:18" x14ac:dyDescent="0.25">
      <c r="A354" s="1">
        <v>60000350</v>
      </c>
      <c r="B354" s="3">
        <v>42</v>
      </c>
      <c r="C354" s="3">
        <v>2</v>
      </c>
      <c r="D354" s="3">
        <v>1</v>
      </c>
      <c r="E354" s="3">
        <v>10</v>
      </c>
      <c r="F354">
        <v>1</v>
      </c>
      <c r="G354" s="3">
        <v>32</v>
      </c>
      <c r="H354" s="3">
        <v>5</v>
      </c>
      <c r="I354" s="3">
        <v>16</v>
      </c>
      <c r="J354" s="3">
        <v>5</v>
      </c>
      <c r="K354" s="3">
        <v>27</v>
      </c>
      <c r="L354" s="3">
        <v>3</v>
      </c>
      <c r="M354">
        <v>2</v>
      </c>
      <c r="N354">
        <v>2</v>
      </c>
      <c r="O354">
        <v>1</v>
      </c>
      <c r="P354" s="3">
        <v>2</v>
      </c>
      <c r="Q354" s="3">
        <v>0</v>
      </c>
      <c r="R354" s="3">
        <v>24990</v>
      </c>
    </row>
    <row r="355" spans="1:18" x14ac:dyDescent="0.25">
      <c r="A355" s="1">
        <v>60000351</v>
      </c>
      <c r="B355" s="3">
        <v>63</v>
      </c>
      <c r="C355" s="3">
        <v>1</v>
      </c>
      <c r="D355" s="3">
        <v>1</v>
      </c>
      <c r="E355" s="3">
        <v>11</v>
      </c>
      <c r="F355">
        <v>1</v>
      </c>
      <c r="G355" s="3">
        <v>18</v>
      </c>
      <c r="H355" s="3">
        <v>2</v>
      </c>
      <c r="I355" s="3">
        <v>6</v>
      </c>
      <c r="J355" s="3">
        <v>8</v>
      </c>
      <c r="K355" s="3">
        <v>12</v>
      </c>
      <c r="L355" s="3">
        <v>3</v>
      </c>
      <c r="M355">
        <v>1</v>
      </c>
      <c r="N355">
        <v>2</v>
      </c>
      <c r="O355">
        <v>2</v>
      </c>
      <c r="P355" s="3">
        <v>2</v>
      </c>
      <c r="Q355" s="3">
        <v>0</v>
      </c>
      <c r="R355" s="3">
        <v>25961</v>
      </c>
    </row>
    <row r="356" spans="1:18" x14ac:dyDescent="0.25">
      <c r="A356" s="1">
        <v>60000352</v>
      </c>
      <c r="B356" s="3">
        <v>34</v>
      </c>
      <c r="C356" s="3">
        <v>1</v>
      </c>
      <c r="D356" s="3">
        <v>1</v>
      </c>
      <c r="E356" s="3">
        <v>9</v>
      </c>
      <c r="F356">
        <v>1</v>
      </c>
      <c r="G356" s="3">
        <v>38</v>
      </c>
      <c r="H356" s="3">
        <v>5</v>
      </c>
      <c r="I356" s="3">
        <v>3</v>
      </c>
      <c r="J356" s="3">
        <v>12</v>
      </c>
      <c r="K356" s="3">
        <v>36</v>
      </c>
      <c r="L356" s="3">
        <v>1</v>
      </c>
      <c r="M356">
        <v>1</v>
      </c>
      <c r="N356">
        <v>2</v>
      </c>
      <c r="O356">
        <v>1</v>
      </c>
      <c r="P356" s="3">
        <v>1</v>
      </c>
      <c r="Q356" s="3">
        <v>4</v>
      </c>
      <c r="R356" s="3">
        <v>37228</v>
      </c>
    </row>
    <row r="357" spans="1:18" x14ac:dyDescent="0.25">
      <c r="A357" s="1">
        <v>60000353</v>
      </c>
      <c r="B357" s="3">
        <v>48</v>
      </c>
      <c r="C357" s="3">
        <v>2</v>
      </c>
      <c r="D357" s="3">
        <v>1</v>
      </c>
      <c r="E357" s="3">
        <v>4</v>
      </c>
      <c r="F357" s="3">
        <v>1</v>
      </c>
      <c r="G357" s="3">
        <v>29</v>
      </c>
      <c r="H357" s="3">
        <v>4</v>
      </c>
      <c r="I357" s="3">
        <v>16</v>
      </c>
      <c r="J357" s="3">
        <v>11</v>
      </c>
      <c r="K357" s="3">
        <v>35</v>
      </c>
      <c r="L357" s="3">
        <v>2</v>
      </c>
      <c r="M357">
        <v>2</v>
      </c>
      <c r="N357">
        <v>2</v>
      </c>
      <c r="O357">
        <v>1</v>
      </c>
      <c r="P357" s="3">
        <v>2</v>
      </c>
      <c r="Q357" s="3">
        <v>0</v>
      </c>
      <c r="R357" s="3">
        <v>26244</v>
      </c>
    </row>
    <row r="358" spans="1:18" x14ac:dyDescent="0.25">
      <c r="A358" s="1">
        <v>60000354</v>
      </c>
      <c r="B358" s="3">
        <v>53</v>
      </c>
      <c r="C358" s="3">
        <v>1</v>
      </c>
      <c r="D358" s="3">
        <v>1</v>
      </c>
      <c r="E358" s="3">
        <v>12</v>
      </c>
      <c r="F358">
        <v>1</v>
      </c>
      <c r="G358" s="3">
        <v>35</v>
      </c>
      <c r="H358" s="3">
        <v>5</v>
      </c>
      <c r="I358" s="3">
        <v>10</v>
      </c>
      <c r="J358" s="3">
        <v>10</v>
      </c>
      <c r="K358" s="3">
        <v>50</v>
      </c>
      <c r="L358" s="3">
        <v>3</v>
      </c>
      <c r="M358">
        <v>2</v>
      </c>
      <c r="N358">
        <v>1</v>
      </c>
      <c r="O358">
        <v>2</v>
      </c>
      <c r="P358" s="3">
        <v>1</v>
      </c>
      <c r="Q358" s="3">
        <v>6</v>
      </c>
      <c r="R358" s="3">
        <v>69760</v>
      </c>
    </row>
    <row r="359" spans="1:18" x14ac:dyDescent="0.25">
      <c r="A359" s="1">
        <v>60000355</v>
      </c>
      <c r="B359" s="3">
        <v>52</v>
      </c>
      <c r="C359" s="3">
        <v>1</v>
      </c>
      <c r="D359" s="3">
        <v>2</v>
      </c>
      <c r="E359" s="3">
        <v>4</v>
      </c>
      <c r="F359">
        <v>1</v>
      </c>
      <c r="G359" s="3">
        <v>36</v>
      </c>
      <c r="H359" s="3">
        <v>5</v>
      </c>
      <c r="I359" s="3">
        <v>4</v>
      </c>
      <c r="J359" s="3">
        <v>10</v>
      </c>
      <c r="K359" s="3">
        <v>41</v>
      </c>
      <c r="L359" s="3">
        <v>1</v>
      </c>
      <c r="M359">
        <v>2</v>
      </c>
      <c r="N359">
        <v>1</v>
      </c>
      <c r="O359">
        <v>2</v>
      </c>
      <c r="P359" s="3">
        <v>1</v>
      </c>
      <c r="Q359" s="3">
        <v>2</v>
      </c>
      <c r="R359" s="3">
        <v>49433</v>
      </c>
    </row>
    <row r="360" spans="1:18" x14ac:dyDescent="0.25">
      <c r="A360" s="1">
        <v>60000356</v>
      </c>
      <c r="B360" s="3">
        <v>30</v>
      </c>
      <c r="C360" s="3">
        <v>2</v>
      </c>
      <c r="D360" s="3">
        <v>1</v>
      </c>
      <c r="E360" s="3">
        <v>11</v>
      </c>
      <c r="F360">
        <v>1</v>
      </c>
      <c r="G360" s="3">
        <v>37</v>
      </c>
      <c r="H360" s="3">
        <v>5</v>
      </c>
      <c r="I360" s="3">
        <v>13</v>
      </c>
      <c r="J360" s="3">
        <v>3</v>
      </c>
      <c r="K360" s="3">
        <v>9</v>
      </c>
      <c r="L360" s="3">
        <v>1</v>
      </c>
      <c r="M360">
        <v>2</v>
      </c>
      <c r="N360">
        <v>1</v>
      </c>
      <c r="O360">
        <v>1</v>
      </c>
      <c r="P360" s="3">
        <v>2</v>
      </c>
      <c r="Q360" s="3">
        <v>0</v>
      </c>
      <c r="R360" s="3">
        <v>32841</v>
      </c>
    </row>
    <row r="361" spans="1:18" x14ac:dyDescent="0.25">
      <c r="A361" s="1">
        <v>60000357</v>
      </c>
      <c r="B361" s="3">
        <v>55</v>
      </c>
      <c r="C361" s="3">
        <v>1</v>
      </c>
      <c r="D361" s="3">
        <v>2</v>
      </c>
      <c r="E361" s="3">
        <v>1</v>
      </c>
      <c r="F361" s="3">
        <v>1</v>
      </c>
      <c r="G361" s="3">
        <v>35</v>
      </c>
      <c r="H361" s="3">
        <v>5</v>
      </c>
      <c r="I361" s="3">
        <v>8</v>
      </c>
      <c r="J361" s="3">
        <v>4</v>
      </c>
      <c r="K361" s="3">
        <v>1</v>
      </c>
      <c r="L361" s="3">
        <v>1</v>
      </c>
      <c r="M361">
        <v>1</v>
      </c>
      <c r="N361">
        <v>1</v>
      </c>
      <c r="O361">
        <v>1</v>
      </c>
      <c r="P361" s="3">
        <v>2</v>
      </c>
      <c r="Q361" s="3">
        <v>0</v>
      </c>
      <c r="R361" s="3">
        <v>26497</v>
      </c>
    </row>
    <row r="362" spans="1:18" x14ac:dyDescent="0.25">
      <c r="A362" s="1">
        <v>60000358</v>
      </c>
      <c r="B362" s="3">
        <v>42</v>
      </c>
      <c r="C362" s="3">
        <v>1</v>
      </c>
      <c r="D362" s="3">
        <v>1</v>
      </c>
      <c r="E362" s="3">
        <v>9</v>
      </c>
      <c r="F362">
        <v>1</v>
      </c>
      <c r="G362" s="3">
        <v>37</v>
      </c>
      <c r="H362" s="3">
        <v>5</v>
      </c>
      <c r="I362" s="3">
        <v>3</v>
      </c>
      <c r="J362" s="3">
        <v>11</v>
      </c>
      <c r="K362" s="3">
        <v>24</v>
      </c>
      <c r="L362" s="3">
        <v>1</v>
      </c>
      <c r="M362">
        <v>2</v>
      </c>
      <c r="N362">
        <v>1</v>
      </c>
      <c r="O362">
        <v>2</v>
      </c>
      <c r="P362" s="3">
        <v>1</v>
      </c>
      <c r="Q362" s="3">
        <v>3</v>
      </c>
      <c r="R362" s="3">
        <v>24475</v>
      </c>
    </row>
    <row r="363" spans="1:18" x14ac:dyDescent="0.25">
      <c r="A363" s="1">
        <v>60000359</v>
      </c>
      <c r="B363" s="3">
        <v>60</v>
      </c>
      <c r="C363" s="3">
        <v>1</v>
      </c>
      <c r="D363" s="3">
        <v>1</v>
      </c>
      <c r="E363" s="3">
        <v>9</v>
      </c>
      <c r="F363">
        <v>1</v>
      </c>
      <c r="G363" s="3">
        <v>35</v>
      </c>
      <c r="H363" s="3">
        <v>5</v>
      </c>
      <c r="I363" s="3">
        <v>17</v>
      </c>
      <c r="J363" s="3">
        <v>9</v>
      </c>
      <c r="K363" s="3">
        <v>40</v>
      </c>
      <c r="L363" s="3">
        <v>3</v>
      </c>
      <c r="M363">
        <v>2</v>
      </c>
      <c r="N363">
        <v>2</v>
      </c>
      <c r="O363">
        <v>2</v>
      </c>
      <c r="P363" s="3">
        <v>2</v>
      </c>
      <c r="Q363" s="3">
        <v>0</v>
      </c>
      <c r="R363" s="3">
        <v>61193</v>
      </c>
    </row>
    <row r="364" spans="1:18" x14ac:dyDescent="0.25">
      <c r="A364" s="1">
        <v>60000360</v>
      </c>
      <c r="B364" s="3">
        <v>36</v>
      </c>
      <c r="C364" s="3">
        <v>2</v>
      </c>
      <c r="D364" s="3">
        <v>2</v>
      </c>
      <c r="E364" s="3">
        <v>6</v>
      </c>
      <c r="F364">
        <v>1</v>
      </c>
      <c r="G364" s="3">
        <v>14</v>
      </c>
      <c r="H364" s="3">
        <v>2</v>
      </c>
      <c r="I364" s="3">
        <v>2</v>
      </c>
      <c r="J364" s="3">
        <v>5</v>
      </c>
      <c r="K364" s="3">
        <v>18</v>
      </c>
      <c r="L364" s="3">
        <v>1</v>
      </c>
      <c r="M364">
        <v>1</v>
      </c>
      <c r="N364">
        <v>2</v>
      </c>
      <c r="O364">
        <v>2</v>
      </c>
      <c r="P364" s="3">
        <v>1</v>
      </c>
      <c r="Q364" s="3">
        <v>6</v>
      </c>
      <c r="R364" s="3">
        <v>55051</v>
      </c>
    </row>
    <row r="365" spans="1:18" x14ac:dyDescent="0.25">
      <c r="A365" s="1">
        <v>60000361</v>
      </c>
      <c r="B365" s="3">
        <v>42</v>
      </c>
      <c r="C365" s="3">
        <v>1</v>
      </c>
      <c r="D365" s="3">
        <v>1</v>
      </c>
      <c r="E365" s="3">
        <v>11</v>
      </c>
      <c r="F365" s="3">
        <v>1</v>
      </c>
      <c r="G365" s="3">
        <v>28</v>
      </c>
      <c r="H365" s="3">
        <v>4</v>
      </c>
      <c r="I365" s="3">
        <v>14</v>
      </c>
      <c r="J365" s="3">
        <v>9</v>
      </c>
      <c r="K365" s="3">
        <v>8</v>
      </c>
      <c r="L365" s="3">
        <v>2</v>
      </c>
      <c r="M365">
        <v>2</v>
      </c>
      <c r="N365">
        <v>2</v>
      </c>
      <c r="O365">
        <v>2</v>
      </c>
      <c r="P365" s="3">
        <v>2</v>
      </c>
      <c r="Q365" s="3">
        <v>0</v>
      </c>
      <c r="R365" s="3">
        <v>36268</v>
      </c>
    </row>
    <row r="366" spans="1:18" x14ac:dyDescent="0.25">
      <c r="A366" s="1">
        <v>60000362</v>
      </c>
      <c r="B366" s="3">
        <v>26</v>
      </c>
      <c r="C366" s="3">
        <v>1</v>
      </c>
      <c r="D366" s="3">
        <v>2</v>
      </c>
      <c r="E366" s="3">
        <v>11</v>
      </c>
      <c r="F366">
        <v>1</v>
      </c>
      <c r="G366" s="3">
        <v>21</v>
      </c>
      <c r="H366" s="3">
        <v>3</v>
      </c>
      <c r="I366" s="3">
        <v>1</v>
      </c>
      <c r="J366" s="3">
        <v>10</v>
      </c>
      <c r="K366" s="3">
        <v>43</v>
      </c>
      <c r="L366" s="3">
        <v>3</v>
      </c>
      <c r="M366">
        <v>2</v>
      </c>
      <c r="N366">
        <v>2</v>
      </c>
      <c r="O366">
        <v>1</v>
      </c>
      <c r="P366" s="3">
        <v>1</v>
      </c>
      <c r="Q366" s="3">
        <v>5</v>
      </c>
      <c r="R366" s="3">
        <v>62522</v>
      </c>
    </row>
    <row r="367" spans="1:18" x14ac:dyDescent="0.25">
      <c r="A367" s="1">
        <v>60000363</v>
      </c>
      <c r="B367" s="3">
        <v>56</v>
      </c>
      <c r="C367" s="3">
        <v>1</v>
      </c>
      <c r="D367" s="3">
        <v>2</v>
      </c>
      <c r="E367" s="3">
        <v>8</v>
      </c>
      <c r="F367">
        <v>1</v>
      </c>
      <c r="G367" s="3">
        <v>16</v>
      </c>
      <c r="H367" s="3">
        <v>2</v>
      </c>
      <c r="I367" s="3">
        <v>15</v>
      </c>
      <c r="J367" s="3">
        <v>11</v>
      </c>
      <c r="K367" s="3">
        <v>9</v>
      </c>
      <c r="L367" s="3">
        <v>1</v>
      </c>
      <c r="M367">
        <v>1</v>
      </c>
      <c r="N367">
        <v>2</v>
      </c>
      <c r="O367">
        <v>1</v>
      </c>
      <c r="P367" s="3">
        <v>2</v>
      </c>
      <c r="Q367" s="3">
        <v>0</v>
      </c>
      <c r="R367" s="3">
        <v>74630</v>
      </c>
    </row>
    <row r="368" spans="1:18" x14ac:dyDescent="0.25">
      <c r="A368" s="1">
        <v>60000364</v>
      </c>
      <c r="B368" s="3">
        <v>28</v>
      </c>
      <c r="C368" s="3">
        <v>1</v>
      </c>
      <c r="D368" s="3">
        <v>2</v>
      </c>
      <c r="E368" s="3">
        <v>3</v>
      </c>
      <c r="F368">
        <v>1</v>
      </c>
      <c r="G368" s="3">
        <v>14</v>
      </c>
      <c r="H368" s="3">
        <v>2</v>
      </c>
      <c r="I368" s="3">
        <v>4</v>
      </c>
      <c r="J368" s="3">
        <v>10</v>
      </c>
      <c r="K368" s="3">
        <v>29</v>
      </c>
      <c r="L368" s="3">
        <v>3</v>
      </c>
      <c r="M368">
        <v>2</v>
      </c>
      <c r="N368">
        <v>2</v>
      </c>
      <c r="O368">
        <v>1</v>
      </c>
      <c r="P368" s="3">
        <v>1</v>
      </c>
      <c r="Q368" s="3">
        <v>0</v>
      </c>
      <c r="R368" s="3">
        <v>39889</v>
      </c>
    </row>
    <row r="369" spans="1:18" x14ac:dyDescent="0.25">
      <c r="A369" s="1">
        <v>60000365</v>
      </c>
      <c r="B369" s="3">
        <v>37</v>
      </c>
      <c r="C369" s="3">
        <v>2</v>
      </c>
      <c r="D369" s="3">
        <v>2</v>
      </c>
      <c r="E369" s="3">
        <v>1</v>
      </c>
      <c r="F369" s="3">
        <v>1</v>
      </c>
      <c r="G369" s="3">
        <v>29</v>
      </c>
      <c r="H369" s="3">
        <v>4</v>
      </c>
      <c r="I369" s="3">
        <v>14</v>
      </c>
      <c r="J369" s="3">
        <v>3</v>
      </c>
      <c r="K369" s="3">
        <v>7</v>
      </c>
      <c r="L369" s="3">
        <v>2</v>
      </c>
      <c r="M369">
        <v>2</v>
      </c>
      <c r="N369">
        <v>1</v>
      </c>
      <c r="O369">
        <v>1</v>
      </c>
      <c r="P369" s="3">
        <v>1</v>
      </c>
      <c r="Q369" s="3">
        <v>5</v>
      </c>
      <c r="R369" s="3">
        <v>27928</v>
      </c>
    </row>
    <row r="370" spans="1:18" x14ac:dyDescent="0.25">
      <c r="A370" s="1">
        <v>60000366</v>
      </c>
      <c r="B370" s="3">
        <v>60</v>
      </c>
      <c r="C370" s="3">
        <v>1</v>
      </c>
      <c r="D370" s="3">
        <v>2</v>
      </c>
      <c r="E370" s="3">
        <v>7</v>
      </c>
      <c r="F370">
        <v>1</v>
      </c>
      <c r="G370" s="3">
        <v>25</v>
      </c>
      <c r="H370" s="3">
        <v>4</v>
      </c>
      <c r="I370" s="3">
        <v>8</v>
      </c>
      <c r="J370" s="3">
        <v>10</v>
      </c>
      <c r="K370" s="3">
        <v>14</v>
      </c>
      <c r="L370" s="3">
        <v>1</v>
      </c>
      <c r="M370">
        <v>2</v>
      </c>
      <c r="N370">
        <v>2</v>
      </c>
      <c r="O370">
        <v>1</v>
      </c>
      <c r="P370" s="3">
        <v>1</v>
      </c>
      <c r="Q370" s="3">
        <v>1</v>
      </c>
      <c r="R370" s="3">
        <v>49493</v>
      </c>
    </row>
    <row r="371" spans="1:18" x14ac:dyDescent="0.25">
      <c r="A371" s="1">
        <v>60000367</v>
      </c>
      <c r="B371" s="3">
        <v>44</v>
      </c>
      <c r="C371" s="3">
        <v>1</v>
      </c>
      <c r="D371" s="3">
        <v>2</v>
      </c>
      <c r="E371" s="3">
        <v>9</v>
      </c>
      <c r="F371">
        <v>1</v>
      </c>
      <c r="G371" s="3">
        <v>16</v>
      </c>
      <c r="H371" s="3">
        <v>2</v>
      </c>
      <c r="I371" s="3">
        <v>6</v>
      </c>
      <c r="J371" s="3">
        <v>2</v>
      </c>
      <c r="K371" s="3">
        <v>10</v>
      </c>
      <c r="L371" s="3">
        <v>1</v>
      </c>
      <c r="M371">
        <v>1</v>
      </c>
      <c r="N371">
        <v>2</v>
      </c>
      <c r="O371">
        <v>2</v>
      </c>
      <c r="P371" s="3">
        <v>2</v>
      </c>
      <c r="Q371" s="3">
        <v>0</v>
      </c>
      <c r="R371" s="3">
        <v>64826</v>
      </c>
    </row>
    <row r="372" spans="1:18" x14ac:dyDescent="0.25">
      <c r="A372" s="1">
        <v>60000368</v>
      </c>
      <c r="B372" s="3">
        <v>36</v>
      </c>
      <c r="C372" s="3">
        <v>1</v>
      </c>
      <c r="D372" s="3">
        <v>1</v>
      </c>
      <c r="E372" s="3">
        <v>2</v>
      </c>
      <c r="F372">
        <v>1</v>
      </c>
      <c r="G372" s="3">
        <v>14</v>
      </c>
      <c r="H372" s="3">
        <v>2</v>
      </c>
      <c r="I372" s="3">
        <v>14</v>
      </c>
      <c r="J372" s="3">
        <v>13</v>
      </c>
      <c r="K372" s="3">
        <v>30</v>
      </c>
      <c r="L372" s="3">
        <v>3</v>
      </c>
      <c r="M372">
        <v>1</v>
      </c>
      <c r="N372">
        <v>2</v>
      </c>
      <c r="O372">
        <v>2</v>
      </c>
      <c r="P372" s="3">
        <v>1</v>
      </c>
      <c r="Q372" s="3">
        <v>3</v>
      </c>
      <c r="R372" s="3">
        <v>54304</v>
      </c>
    </row>
    <row r="373" spans="1:18" x14ac:dyDescent="0.25">
      <c r="A373" s="1">
        <v>60000369</v>
      </c>
      <c r="B373" s="3">
        <v>56</v>
      </c>
      <c r="C373" s="3">
        <v>2</v>
      </c>
      <c r="D373" s="3">
        <v>2</v>
      </c>
      <c r="E373" s="3">
        <v>2</v>
      </c>
      <c r="F373" s="3">
        <v>1</v>
      </c>
      <c r="G373" s="3">
        <v>29</v>
      </c>
      <c r="H373" s="3">
        <v>4</v>
      </c>
      <c r="I373" s="3">
        <v>14</v>
      </c>
      <c r="J373" s="3">
        <v>10</v>
      </c>
      <c r="K373" s="3">
        <v>8</v>
      </c>
      <c r="L373" s="3">
        <v>3</v>
      </c>
      <c r="M373">
        <v>1</v>
      </c>
      <c r="N373">
        <v>1</v>
      </c>
      <c r="O373">
        <v>1</v>
      </c>
      <c r="P373" s="3">
        <v>2</v>
      </c>
      <c r="Q373" s="3">
        <v>0</v>
      </c>
      <c r="R373" s="3">
        <v>80617</v>
      </c>
    </row>
    <row r="374" spans="1:18" x14ac:dyDescent="0.25">
      <c r="A374" s="1">
        <v>60000370</v>
      </c>
      <c r="B374" s="3">
        <v>26</v>
      </c>
      <c r="C374" s="3">
        <v>1</v>
      </c>
      <c r="D374" s="3">
        <v>1</v>
      </c>
      <c r="E374" s="3">
        <v>10</v>
      </c>
      <c r="F374">
        <v>1</v>
      </c>
      <c r="G374" s="3">
        <v>19</v>
      </c>
      <c r="H374" s="3">
        <v>3</v>
      </c>
      <c r="I374" s="3">
        <v>15</v>
      </c>
      <c r="J374" s="3">
        <v>9</v>
      </c>
      <c r="K374" s="3">
        <v>49</v>
      </c>
      <c r="L374" s="3">
        <v>3</v>
      </c>
      <c r="M374">
        <v>1</v>
      </c>
      <c r="N374">
        <v>2</v>
      </c>
      <c r="O374">
        <v>2</v>
      </c>
      <c r="P374" s="3">
        <v>2</v>
      </c>
      <c r="Q374" s="3">
        <v>0</v>
      </c>
      <c r="R374" s="3">
        <v>74854</v>
      </c>
    </row>
    <row r="375" spans="1:18" x14ac:dyDescent="0.25">
      <c r="A375" s="1">
        <v>60000371</v>
      </c>
      <c r="B375" s="3">
        <v>46</v>
      </c>
      <c r="C375" s="3">
        <v>2</v>
      </c>
      <c r="D375" s="3">
        <v>2</v>
      </c>
      <c r="E375" s="3">
        <v>1</v>
      </c>
      <c r="F375">
        <v>1</v>
      </c>
      <c r="G375" s="3">
        <v>16</v>
      </c>
      <c r="H375" s="3">
        <v>2</v>
      </c>
      <c r="I375" s="3">
        <v>10</v>
      </c>
      <c r="J375" s="3">
        <v>13</v>
      </c>
      <c r="K375" s="3">
        <v>46</v>
      </c>
      <c r="L375" s="3">
        <v>2</v>
      </c>
      <c r="M375">
        <v>2</v>
      </c>
      <c r="N375">
        <v>1</v>
      </c>
      <c r="O375">
        <v>2</v>
      </c>
      <c r="P375" s="3">
        <v>2</v>
      </c>
      <c r="Q375" s="3">
        <v>0</v>
      </c>
      <c r="R375" s="3">
        <v>49343</v>
      </c>
    </row>
    <row r="376" spans="1:18" x14ac:dyDescent="0.25">
      <c r="A376" s="1">
        <v>60000372</v>
      </c>
      <c r="B376" s="3">
        <v>31</v>
      </c>
      <c r="C376" s="3">
        <v>2</v>
      </c>
      <c r="D376" s="3">
        <v>2</v>
      </c>
      <c r="E376" s="3">
        <v>9</v>
      </c>
      <c r="F376">
        <v>1</v>
      </c>
      <c r="G376" s="3">
        <v>16</v>
      </c>
      <c r="H376" s="3">
        <v>2</v>
      </c>
      <c r="I376" s="3">
        <v>2</v>
      </c>
      <c r="J376" s="3">
        <v>2</v>
      </c>
      <c r="K376" s="3">
        <v>1</v>
      </c>
      <c r="L376" s="3">
        <v>3</v>
      </c>
      <c r="M376">
        <v>2</v>
      </c>
      <c r="N376">
        <v>2</v>
      </c>
      <c r="O376">
        <v>1</v>
      </c>
      <c r="P376" s="3">
        <v>1</v>
      </c>
      <c r="Q376" s="3">
        <v>4</v>
      </c>
      <c r="R376" s="3">
        <v>80425</v>
      </c>
    </row>
    <row r="377" spans="1:18" x14ac:dyDescent="0.25">
      <c r="A377" s="1">
        <v>60000373</v>
      </c>
      <c r="B377" s="3">
        <v>21</v>
      </c>
      <c r="C377" s="3">
        <v>2</v>
      </c>
      <c r="D377" s="3">
        <v>1</v>
      </c>
      <c r="E377" s="3">
        <v>3</v>
      </c>
      <c r="F377" s="3">
        <v>1</v>
      </c>
      <c r="G377" s="3">
        <v>19</v>
      </c>
      <c r="H377" s="3">
        <v>3</v>
      </c>
      <c r="I377" s="3">
        <v>7</v>
      </c>
      <c r="J377" s="3">
        <v>12</v>
      </c>
      <c r="K377" s="3">
        <v>2</v>
      </c>
      <c r="L377" s="3">
        <v>1</v>
      </c>
      <c r="M377">
        <v>1</v>
      </c>
      <c r="N377">
        <v>2</v>
      </c>
      <c r="O377">
        <v>2</v>
      </c>
      <c r="P377" s="3">
        <v>1</v>
      </c>
      <c r="Q377" s="3">
        <v>0</v>
      </c>
      <c r="R377" s="3">
        <v>28635</v>
      </c>
    </row>
    <row r="378" spans="1:18" x14ac:dyDescent="0.25">
      <c r="A378" s="1">
        <v>60000374</v>
      </c>
      <c r="B378" s="3">
        <v>51</v>
      </c>
      <c r="C378" s="3">
        <v>1</v>
      </c>
      <c r="D378" s="3">
        <v>1</v>
      </c>
      <c r="E378" s="3">
        <v>8</v>
      </c>
      <c r="F378">
        <v>1</v>
      </c>
      <c r="G378" s="3">
        <v>26</v>
      </c>
      <c r="H378" s="3">
        <v>4</v>
      </c>
      <c r="I378" s="3">
        <v>4</v>
      </c>
      <c r="J378" s="3">
        <v>13</v>
      </c>
      <c r="K378" s="3">
        <v>25</v>
      </c>
      <c r="L378" s="3">
        <v>3</v>
      </c>
      <c r="M378">
        <v>2</v>
      </c>
      <c r="N378">
        <v>2</v>
      </c>
      <c r="O378">
        <v>1</v>
      </c>
      <c r="P378" s="3">
        <v>2</v>
      </c>
      <c r="Q378" s="3">
        <v>0</v>
      </c>
      <c r="R378" s="3">
        <v>28074</v>
      </c>
    </row>
    <row r="379" spans="1:18" x14ac:dyDescent="0.25">
      <c r="A379" s="1">
        <v>60000375</v>
      </c>
      <c r="B379" s="3">
        <v>64</v>
      </c>
      <c r="C379" s="3">
        <v>2</v>
      </c>
      <c r="D379" s="3">
        <v>1</v>
      </c>
      <c r="E379" s="3">
        <v>3</v>
      </c>
      <c r="F379">
        <v>1</v>
      </c>
      <c r="G379" s="3">
        <v>34</v>
      </c>
      <c r="H379" s="3">
        <v>5</v>
      </c>
      <c r="I379" s="3">
        <v>4</v>
      </c>
      <c r="J379" s="3">
        <v>3</v>
      </c>
      <c r="K379" s="3">
        <v>16</v>
      </c>
      <c r="L379" s="3">
        <v>2</v>
      </c>
      <c r="M379">
        <v>2</v>
      </c>
      <c r="N379">
        <v>2</v>
      </c>
      <c r="O379">
        <v>2</v>
      </c>
      <c r="P379" s="3">
        <v>1</v>
      </c>
      <c r="Q379" s="3">
        <v>3</v>
      </c>
      <c r="R379" s="3">
        <v>68445</v>
      </c>
    </row>
    <row r="380" spans="1:18" x14ac:dyDescent="0.25">
      <c r="A380" s="1">
        <v>60000376</v>
      </c>
      <c r="B380" s="3">
        <v>21</v>
      </c>
      <c r="C380" s="3">
        <v>2</v>
      </c>
      <c r="D380" s="3">
        <v>2</v>
      </c>
      <c r="E380" s="3">
        <v>4</v>
      </c>
      <c r="F380">
        <v>1</v>
      </c>
      <c r="G380" s="3">
        <v>25</v>
      </c>
      <c r="H380" s="3">
        <v>4</v>
      </c>
      <c r="I380" s="3">
        <v>8</v>
      </c>
      <c r="J380" s="3">
        <v>13</v>
      </c>
      <c r="K380" s="3">
        <v>34</v>
      </c>
      <c r="L380" s="3">
        <v>2</v>
      </c>
      <c r="M380">
        <v>1</v>
      </c>
      <c r="N380">
        <v>1</v>
      </c>
      <c r="O380">
        <v>2</v>
      </c>
      <c r="P380" s="3">
        <v>2</v>
      </c>
      <c r="Q380" s="3">
        <v>0</v>
      </c>
      <c r="R380" s="3">
        <v>84067</v>
      </c>
    </row>
    <row r="381" spans="1:18" x14ac:dyDescent="0.25">
      <c r="A381" s="1">
        <v>60000377</v>
      </c>
      <c r="B381" s="3">
        <v>50</v>
      </c>
      <c r="C381" s="3">
        <v>1</v>
      </c>
      <c r="D381" s="3">
        <v>2</v>
      </c>
      <c r="E381" s="3">
        <v>10</v>
      </c>
      <c r="F381" s="3">
        <v>1</v>
      </c>
      <c r="G381" s="3">
        <v>11</v>
      </c>
      <c r="H381" s="3">
        <v>1</v>
      </c>
      <c r="I381" s="3">
        <v>12</v>
      </c>
      <c r="J381" s="3">
        <v>7</v>
      </c>
      <c r="K381" s="3">
        <v>3</v>
      </c>
      <c r="L381" s="3">
        <v>1</v>
      </c>
      <c r="M381">
        <v>2</v>
      </c>
      <c r="N381">
        <v>2</v>
      </c>
      <c r="O381">
        <v>2</v>
      </c>
      <c r="P381" s="3">
        <v>2</v>
      </c>
      <c r="Q381" s="3">
        <v>0</v>
      </c>
      <c r="R381" s="3">
        <v>83731</v>
      </c>
    </row>
    <row r="382" spans="1:18" x14ac:dyDescent="0.25">
      <c r="A382" s="1">
        <v>60000378</v>
      </c>
      <c r="B382" s="3">
        <v>39</v>
      </c>
      <c r="C382" s="3">
        <v>2</v>
      </c>
      <c r="D382" s="3">
        <v>2</v>
      </c>
      <c r="E382" s="3">
        <v>12</v>
      </c>
      <c r="F382">
        <v>1</v>
      </c>
      <c r="G382" s="3">
        <v>27</v>
      </c>
      <c r="H382" s="3">
        <v>4</v>
      </c>
      <c r="I382" s="3">
        <v>2</v>
      </c>
      <c r="J382" s="3">
        <v>3</v>
      </c>
      <c r="K382" s="3">
        <v>22</v>
      </c>
      <c r="L382" s="3">
        <v>1</v>
      </c>
      <c r="M382">
        <v>2</v>
      </c>
      <c r="N382">
        <v>1</v>
      </c>
      <c r="O382">
        <v>2</v>
      </c>
      <c r="P382" s="3">
        <v>1</v>
      </c>
      <c r="Q382" s="3">
        <v>1</v>
      </c>
      <c r="R382" s="3">
        <v>28557</v>
      </c>
    </row>
    <row r="383" spans="1:18" x14ac:dyDescent="0.25">
      <c r="A383" s="1">
        <v>60000379</v>
      </c>
      <c r="B383" s="3">
        <v>38</v>
      </c>
      <c r="C383" s="3">
        <v>2</v>
      </c>
      <c r="D383" s="3">
        <v>1</v>
      </c>
      <c r="E383" s="3">
        <v>10</v>
      </c>
      <c r="F383">
        <v>1</v>
      </c>
      <c r="G383" s="3">
        <v>35</v>
      </c>
      <c r="H383" s="3">
        <v>5</v>
      </c>
      <c r="I383" s="3">
        <v>13</v>
      </c>
      <c r="J383" s="3">
        <v>13</v>
      </c>
      <c r="K383" s="3">
        <v>39</v>
      </c>
      <c r="L383" s="3">
        <v>3</v>
      </c>
      <c r="M383">
        <v>1</v>
      </c>
      <c r="N383">
        <v>1</v>
      </c>
      <c r="O383">
        <v>2</v>
      </c>
      <c r="P383" s="3">
        <v>1</v>
      </c>
      <c r="Q383" s="3">
        <v>5</v>
      </c>
      <c r="R383" s="3">
        <v>79614</v>
      </c>
    </row>
    <row r="384" spans="1:18" x14ac:dyDescent="0.25">
      <c r="A384" s="1">
        <v>60000380</v>
      </c>
      <c r="B384" s="3">
        <v>34</v>
      </c>
      <c r="C384" s="3">
        <v>1</v>
      </c>
      <c r="D384" s="3">
        <v>1</v>
      </c>
      <c r="E384" s="3">
        <v>12</v>
      </c>
      <c r="F384">
        <v>1</v>
      </c>
      <c r="G384" s="3">
        <v>30</v>
      </c>
      <c r="H384" s="3">
        <v>4</v>
      </c>
      <c r="I384" s="3">
        <v>12</v>
      </c>
      <c r="J384" s="3">
        <v>10</v>
      </c>
      <c r="K384" s="3">
        <v>16</v>
      </c>
      <c r="L384" s="3">
        <v>2</v>
      </c>
      <c r="M384">
        <v>2</v>
      </c>
      <c r="N384">
        <v>1</v>
      </c>
      <c r="O384">
        <v>2</v>
      </c>
      <c r="P384" s="3">
        <v>2</v>
      </c>
      <c r="Q384" s="3">
        <v>0</v>
      </c>
      <c r="R384" s="3">
        <v>54684</v>
      </c>
    </row>
    <row r="385" spans="1:18" x14ac:dyDescent="0.25">
      <c r="A385" s="1">
        <v>60000381</v>
      </c>
      <c r="B385" s="3">
        <v>57</v>
      </c>
      <c r="C385" s="3">
        <v>2</v>
      </c>
      <c r="D385" s="3">
        <v>1</v>
      </c>
      <c r="E385" s="3">
        <v>12</v>
      </c>
      <c r="F385" s="3">
        <v>1</v>
      </c>
      <c r="G385" s="3">
        <v>31</v>
      </c>
      <c r="H385" s="3">
        <v>4</v>
      </c>
      <c r="I385" s="3">
        <v>12</v>
      </c>
      <c r="J385" s="3">
        <v>11</v>
      </c>
      <c r="K385" s="3">
        <v>31</v>
      </c>
      <c r="L385" s="3">
        <v>3</v>
      </c>
      <c r="M385">
        <v>1</v>
      </c>
      <c r="N385">
        <v>2</v>
      </c>
      <c r="O385">
        <v>1</v>
      </c>
      <c r="P385" s="3">
        <v>1</v>
      </c>
      <c r="Q385" s="3">
        <v>7</v>
      </c>
      <c r="R385" s="3">
        <v>27227</v>
      </c>
    </row>
    <row r="386" spans="1:18" x14ac:dyDescent="0.25">
      <c r="A386" s="1">
        <v>60000382</v>
      </c>
      <c r="B386" s="3">
        <v>47</v>
      </c>
      <c r="C386" s="3">
        <v>2</v>
      </c>
      <c r="D386" s="3">
        <v>1</v>
      </c>
      <c r="E386" s="3">
        <v>7</v>
      </c>
      <c r="F386">
        <v>1</v>
      </c>
      <c r="G386" s="3">
        <v>13</v>
      </c>
      <c r="H386" s="3">
        <v>2</v>
      </c>
      <c r="I386" s="3">
        <v>8</v>
      </c>
      <c r="J386" s="3">
        <v>2</v>
      </c>
      <c r="K386" s="3">
        <v>32</v>
      </c>
      <c r="L386" s="3">
        <v>2</v>
      </c>
      <c r="M386">
        <v>1</v>
      </c>
      <c r="N386">
        <v>1</v>
      </c>
      <c r="O386">
        <v>1</v>
      </c>
      <c r="P386" s="3">
        <v>2</v>
      </c>
      <c r="Q386" s="3">
        <v>0</v>
      </c>
      <c r="R386" s="3">
        <v>32045</v>
      </c>
    </row>
    <row r="387" spans="1:18" x14ac:dyDescent="0.25">
      <c r="A387" s="1">
        <v>60000383</v>
      </c>
      <c r="B387" s="3">
        <v>36</v>
      </c>
      <c r="C387" s="3">
        <v>1</v>
      </c>
      <c r="D387" s="3">
        <v>2</v>
      </c>
      <c r="E387" s="3">
        <v>9</v>
      </c>
      <c r="F387">
        <v>1</v>
      </c>
      <c r="G387" s="3">
        <v>28</v>
      </c>
      <c r="H387" s="3">
        <v>4</v>
      </c>
      <c r="I387" s="3">
        <v>16</v>
      </c>
      <c r="J387" s="3">
        <v>3</v>
      </c>
      <c r="K387" s="3">
        <v>12</v>
      </c>
      <c r="L387" s="3">
        <v>3</v>
      </c>
      <c r="M387">
        <v>1</v>
      </c>
      <c r="N387">
        <v>1</v>
      </c>
      <c r="O387">
        <v>1</v>
      </c>
      <c r="P387" s="3">
        <v>2</v>
      </c>
      <c r="Q387" s="3">
        <v>0</v>
      </c>
      <c r="R387" s="3">
        <v>25551</v>
      </c>
    </row>
    <row r="388" spans="1:18" x14ac:dyDescent="0.25">
      <c r="A388" s="1">
        <v>60000384</v>
      </c>
      <c r="B388" s="3">
        <v>21</v>
      </c>
      <c r="C388" s="3">
        <v>1</v>
      </c>
      <c r="D388" s="3">
        <v>2</v>
      </c>
      <c r="E388" s="3">
        <v>12</v>
      </c>
      <c r="F388">
        <v>1</v>
      </c>
      <c r="G388" s="3">
        <v>20</v>
      </c>
      <c r="H388" s="3">
        <v>3</v>
      </c>
      <c r="I388" s="3">
        <v>4</v>
      </c>
      <c r="J388" s="3">
        <v>2</v>
      </c>
      <c r="K388" s="3">
        <v>50</v>
      </c>
      <c r="L388" s="3">
        <v>1</v>
      </c>
      <c r="M388">
        <v>1</v>
      </c>
      <c r="N388">
        <v>1</v>
      </c>
      <c r="O388">
        <v>2</v>
      </c>
      <c r="P388" s="3">
        <v>2</v>
      </c>
      <c r="Q388" s="3">
        <v>0</v>
      </c>
      <c r="R388" s="3">
        <v>43464</v>
      </c>
    </row>
    <row r="389" spans="1:18" x14ac:dyDescent="0.25">
      <c r="A389" s="1">
        <v>60000385</v>
      </c>
      <c r="B389" s="3">
        <v>21</v>
      </c>
      <c r="C389" s="3">
        <v>2</v>
      </c>
      <c r="D389" s="3">
        <v>2</v>
      </c>
      <c r="E389" s="3">
        <v>9</v>
      </c>
      <c r="F389" s="3">
        <v>1</v>
      </c>
      <c r="G389" s="3">
        <v>30</v>
      </c>
      <c r="H389" s="3">
        <v>4</v>
      </c>
      <c r="I389" s="3">
        <v>11</v>
      </c>
      <c r="J389" s="3">
        <v>6</v>
      </c>
      <c r="K389" s="3">
        <v>32</v>
      </c>
      <c r="L389" s="3">
        <v>3</v>
      </c>
      <c r="M389">
        <v>2</v>
      </c>
      <c r="N389">
        <v>2</v>
      </c>
      <c r="O389">
        <v>2</v>
      </c>
      <c r="P389" s="3">
        <v>1</v>
      </c>
      <c r="Q389" s="3">
        <v>5</v>
      </c>
      <c r="R389" s="3">
        <v>41890</v>
      </c>
    </row>
    <row r="390" spans="1:18" x14ac:dyDescent="0.25">
      <c r="A390" s="1">
        <v>60000386</v>
      </c>
      <c r="B390" s="3">
        <v>36</v>
      </c>
      <c r="C390" s="3">
        <v>2</v>
      </c>
      <c r="D390" s="3">
        <v>1</v>
      </c>
      <c r="E390" s="3">
        <v>12</v>
      </c>
      <c r="F390">
        <v>1</v>
      </c>
      <c r="G390" s="3">
        <v>17</v>
      </c>
      <c r="H390" s="3">
        <v>2</v>
      </c>
      <c r="I390" s="3">
        <v>13</v>
      </c>
      <c r="J390" s="3">
        <v>9</v>
      </c>
      <c r="K390" s="3">
        <v>6</v>
      </c>
      <c r="L390" s="3">
        <v>2</v>
      </c>
      <c r="M390">
        <v>1</v>
      </c>
      <c r="N390">
        <v>2</v>
      </c>
      <c r="O390">
        <v>1</v>
      </c>
      <c r="P390" s="3">
        <v>1</v>
      </c>
      <c r="Q390" s="3">
        <v>7</v>
      </c>
      <c r="R390" s="3">
        <v>36063</v>
      </c>
    </row>
    <row r="391" spans="1:18" x14ac:dyDescent="0.25">
      <c r="A391" s="1">
        <v>60000387</v>
      </c>
      <c r="B391" s="3">
        <v>52</v>
      </c>
      <c r="C391" s="3">
        <v>1</v>
      </c>
      <c r="D391" s="3">
        <v>1</v>
      </c>
      <c r="E391" s="3">
        <v>9</v>
      </c>
      <c r="F391">
        <v>1</v>
      </c>
      <c r="G391" s="3">
        <v>24</v>
      </c>
      <c r="H391" s="3">
        <v>3</v>
      </c>
      <c r="I391" s="3">
        <v>12</v>
      </c>
      <c r="J391" s="3">
        <v>7</v>
      </c>
      <c r="K391" s="3">
        <v>40</v>
      </c>
      <c r="L391" s="3">
        <v>1</v>
      </c>
      <c r="M391">
        <v>1</v>
      </c>
      <c r="N391">
        <v>1</v>
      </c>
      <c r="O391">
        <v>1</v>
      </c>
      <c r="P391" s="3">
        <v>2</v>
      </c>
      <c r="Q391" s="3">
        <v>0</v>
      </c>
      <c r="R391" s="3">
        <v>80040</v>
      </c>
    </row>
    <row r="392" spans="1:18" x14ac:dyDescent="0.25">
      <c r="A392" s="1">
        <v>60000388</v>
      </c>
      <c r="B392" s="3">
        <v>47</v>
      </c>
      <c r="C392" s="3">
        <v>2</v>
      </c>
      <c r="D392" s="3">
        <v>2</v>
      </c>
      <c r="E392" s="3">
        <v>11</v>
      </c>
      <c r="F392">
        <v>1</v>
      </c>
      <c r="G392" s="3">
        <v>32</v>
      </c>
      <c r="H392" s="3">
        <v>5</v>
      </c>
      <c r="I392" s="3">
        <v>2</v>
      </c>
      <c r="J392" s="3">
        <v>5</v>
      </c>
      <c r="K392" s="3">
        <v>41</v>
      </c>
      <c r="L392" s="3">
        <v>3</v>
      </c>
      <c r="M392">
        <v>1</v>
      </c>
      <c r="N392">
        <v>2</v>
      </c>
      <c r="O392">
        <v>1</v>
      </c>
      <c r="P392" s="3">
        <v>1</v>
      </c>
      <c r="Q392" s="3">
        <v>1</v>
      </c>
      <c r="R392" s="3">
        <v>72998</v>
      </c>
    </row>
    <row r="393" spans="1:18" x14ac:dyDescent="0.25">
      <c r="A393" s="1">
        <v>60000389</v>
      </c>
      <c r="B393" s="3">
        <v>44</v>
      </c>
      <c r="C393" s="3">
        <v>2</v>
      </c>
      <c r="D393" s="3">
        <v>1</v>
      </c>
      <c r="E393" s="3">
        <v>4</v>
      </c>
      <c r="F393" s="3">
        <v>1</v>
      </c>
      <c r="G393" s="3">
        <v>12</v>
      </c>
      <c r="H393" s="3">
        <v>2</v>
      </c>
      <c r="I393" s="3">
        <v>17</v>
      </c>
      <c r="J393" s="3">
        <v>10</v>
      </c>
      <c r="K393" s="3">
        <v>6</v>
      </c>
      <c r="L393" s="3">
        <v>3</v>
      </c>
      <c r="M393">
        <v>2</v>
      </c>
      <c r="N393">
        <v>2</v>
      </c>
      <c r="O393">
        <v>1</v>
      </c>
      <c r="P393" s="3">
        <v>2</v>
      </c>
      <c r="Q393" s="3">
        <v>0</v>
      </c>
      <c r="R393" s="3">
        <v>66477</v>
      </c>
    </row>
    <row r="394" spans="1:18" x14ac:dyDescent="0.25">
      <c r="A394" s="1">
        <v>60000390</v>
      </c>
      <c r="B394" s="3">
        <v>23</v>
      </c>
      <c r="C394" s="3">
        <v>2</v>
      </c>
      <c r="D394" s="3">
        <v>2</v>
      </c>
      <c r="E394" s="3">
        <v>12</v>
      </c>
      <c r="F394">
        <v>1</v>
      </c>
      <c r="G394" s="3">
        <v>13</v>
      </c>
      <c r="H394" s="3">
        <v>2</v>
      </c>
      <c r="I394" s="3">
        <v>13</v>
      </c>
      <c r="J394" s="3">
        <v>3</v>
      </c>
      <c r="K394" s="3">
        <v>13</v>
      </c>
      <c r="L394" s="3">
        <v>3</v>
      </c>
      <c r="M394">
        <v>1</v>
      </c>
      <c r="N394">
        <v>2</v>
      </c>
      <c r="O394">
        <v>2</v>
      </c>
      <c r="P394" s="3">
        <v>1</v>
      </c>
      <c r="Q394" s="3">
        <v>7</v>
      </c>
      <c r="R394" s="3">
        <v>48518</v>
      </c>
    </row>
    <row r="395" spans="1:18" x14ac:dyDescent="0.25">
      <c r="A395" s="1">
        <v>60000391</v>
      </c>
      <c r="B395" s="3">
        <v>37</v>
      </c>
      <c r="C395" s="3">
        <v>1</v>
      </c>
      <c r="D395" s="3">
        <v>1</v>
      </c>
      <c r="E395" s="3">
        <v>3</v>
      </c>
      <c r="F395">
        <v>1</v>
      </c>
      <c r="G395" s="3">
        <v>14</v>
      </c>
      <c r="H395" s="3">
        <v>2</v>
      </c>
      <c r="I395" s="3">
        <v>4</v>
      </c>
      <c r="J395" s="3">
        <v>8</v>
      </c>
      <c r="K395" s="3">
        <v>7</v>
      </c>
      <c r="L395" s="3">
        <v>2</v>
      </c>
      <c r="M395">
        <v>1</v>
      </c>
      <c r="N395">
        <v>2</v>
      </c>
      <c r="O395">
        <v>2</v>
      </c>
      <c r="P395" s="3">
        <v>1</v>
      </c>
      <c r="Q395" s="3">
        <v>4</v>
      </c>
      <c r="R395" s="3">
        <v>34127</v>
      </c>
    </row>
    <row r="396" spans="1:18" x14ac:dyDescent="0.25">
      <c r="A396" s="1">
        <v>60000392</v>
      </c>
      <c r="B396" s="3">
        <v>47</v>
      </c>
      <c r="C396" s="3">
        <v>1</v>
      </c>
      <c r="D396" s="3">
        <v>1</v>
      </c>
      <c r="E396" s="3">
        <v>10</v>
      </c>
      <c r="F396">
        <v>1</v>
      </c>
      <c r="G396" s="3">
        <v>21</v>
      </c>
      <c r="H396" s="3">
        <v>3</v>
      </c>
      <c r="I396" s="3">
        <v>16</v>
      </c>
      <c r="J396" s="3">
        <v>3</v>
      </c>
      <c r="K396" s="3">
        <v>43</v>
      </c>
      <c r="L396" s="3">
        <v>1</v>
      </c>
      <c r="M396">
        <v>1</v>
      </c>
      <c r="N396">
        <v>2</v>
      </c>
      <c r="O396">
        <v>2</v>
      </c>
      <c r="P396" s="3">
        <v>2</v>
      </c>
      <c r="Q396" s="3">
        <v>0</v>
      </c>
      <c r="R396" s="3">
        <v>64482</v>
      </c>
    </row>
    <row r="397" spans="1:18" x14ac:dyDescent="0.25">
      <c r="A397" s="1">
        <v>60000393</v>
      </c>
      <c r="B397" s="3">
        <v>44</v>
      </c>
      <c r="C397" s="3">
        <v>2</v>
      </c>
      <c r="D397" s="3">
        <v>2</v>
      </c>
      <c r="E397" s="3">
        <v>1</v>
      </c>
      <c r="F397" s="3">
        <v>1</v>
      </c>
      <c r="G397" s="3">
        <v>21</v>
      </c>
      <c r="H397" s="3">
        <v>3</v>
      </c>
      <c r="I397" s="3">
        <v>17</v>
      </c>
      <c r="J397" s="3">
        <v>7</v>
      </c>
      <c r="K397" s="3">
        <v>36</v>
      </c>
      <c r="L397" s="3">
        <v>2</v>
      </c>
      <c r="M397">
        <v>1</v>
      </c>
      <c r="N397">
        <v>2</v>
      </c>
      <c r="O397">
        <v>1</v>
      </c>
      <c r="P397" s="3">
        <v>1</v>
      </c>
      <c r="Q397" s="3">
        <v>6</v>
      </c>
      <c r="R397" s="3">
        <v>54672</v>
      </c>
    </row>
    <row r="398" spans="1:18" x14ac:dyDescent="0.25">
      <c r="A398" s="1">
        <v>60000394</v>
      </c>
      <c r="B398" s="3">
        <v>45</v>
      </c>
      <c r="C398" s="3">
        <v>2</v>
      </c>
      <c r="D398" s="3">
        <v>2</v>
      </c>
      <c r="E398" s="3">
        <v>9</v>
      </c>
      <c r="F398">
        <v>1</v>
      </c>
      <c r="G398" s="3">
        <v>17</v>
      </c>
      <c r="H398" s="3">
        <v>2</v>
      </c>
      <c r="I398" s="3">
        <v>8</v>
      </c>
      <c r="J398" s="3">
        <v>3</v>
      </c>
      <c r="K398" s="3">
        <v>41</v>
      </c>
      <c r="L398" s="3">
        <v>3</v>
      </c>
      <c r="M398">
        <v>2</v>
      </c>
      <c r="N398">
        <v>2</v>
      </c>
      <c r="O398">
        <v>1</v>
      </c>
      <c r="P398" s="3">
        <v>1</v>
      </c>
      <c r="Q398" s="3">
        <v>4</v>
      </c>
      <c r="R398" s="3">
        <v>51554</v>
      </c>
    </row>
    <row r="399" spans="1:18" x14ac:dyDescent="0.25">
      <c r="A399" s="1">
        <v>60000395</v>
      </c>
      <c r="B399" s="3">
        <v>25</v>
      </c>
      <c r="C399" s="3">
        <v>2</v>
      </c>
      <c r="D399" s="3">
        <v>1</v>
      </c>
      <c r="E399" s="3">
        <v>4</v>
      </c>
      <c r="F399">
        <v>1</v>
      </c>
      <c r="G399" s="3">
        <v>37</v>
      </c>
      <c r="H399" s="3">
        <v>5</v>
      </c>
      <c r="I399" s="3">
        <v>1</v>
      </c>
      <c r="J399" s="3">
        <v>1</v>
      </c>
      <c r="K399" s="3">
        <v>22</v>
      </c>
      <c r="L399" s="3">
        <v>1</v>
      </c>
      <c r="M399">
        <v>1</v>
      </c>
      <c r="N399">
        <v>1</v>
      </c>
      <c r="O399">
        <v>1</v>
      </c>
      <c r="P399" s="3">
        <v>2</v>
      </c>
      <c r="Q399" s="3">
        <v>0</v>
      </c>
      <c r="R399" s="3">
        <v>44090</v>
      </c>
    </row>
    <row r="400" spans="1:18" x14ac:dyDescent="0.25">
      <c r="A400" s="1">
        <v>60000396</v>
      </c>
      <c r="B400" s="3">
        <v>31</v>
      </c>
      <c r="C400" s="3">
        <v>1</v>
      </c>
      <c r="D400" s="3">
        <v>2</v>
      </c>
      <c r="E400" s="3">
        <v>12</v>
      </c>
      <c r="F400">
        <v>1</v>
      </c>
      <c r="G400" s="3">
        <v>23</v>
      </c>
      <c r="H400" s="3">
        <v>3</v>
      </c>
      <c r="I400" s="3">
        <v>1</v>
      </c>
      <c r="J400" s="3">
        <v>9</v>
      </c>
      <c r="K400" s="3">
        <v>22</v>
      </c>
      <c r="L400" s="3">
        <v>1</v>
      </c>
      <c r="M400">
        <v>1</v>
      </c>
      <c r="N400">
        <v>2</v>
      </c>
      <c r="O400">
        <v>1</v>
      </c>
      <c r="P400" s="3">
        <v>2</v>
      </c>
      <c r="Q400" s="3">
        <v>0</v>
      </c>
      <c r="R400" s="3">
        <v>81393</v>
      </c>
    </row>
    <row r="401" spans="1:18" x14ac:dyDescent="0.25">
      <c r="A401" s="1">
        <v>60000397</v>
      </c>
      <c r="B401" s="3">
        <v>44</v>
      </c>
      <c r="C401" s="3">
        <v>2</v>
      </c>
      <c r="D401" s="3">
        <v>2</v>
      </c>
      <c r="E401" s="3">
        <v>2</v>
      </c>
      <c r="F401" s="3">
        <v>1</v>
      </c>
      <c r="G401" s="3">
        <v>33</v>
      </c>
      <c r="H401" s="3">
        <v>5</v>
      </c>
      <c r="I401" s="3">
        <v>2</v>
      </c>
      <c r="J401" s="3">
        <v>9</v>
      </c>
      <c r="K401" s="3">
        <v>30</v>
      </c>
      <c r="L401" s="3">
        <v>1</v>
      </c>
      <c r="M401">
        <v>1</v>
      </c>
      <c r="N401">
        <v>2</v>
      </c>
      <c r="O401">
        <v>1</v>
      </c>
      <c r="P401" s="3">
        <v>1</v>
      </c>
      <c r="Q401" s="3">
        <v>1</v>
      </c>
      <c r="R401" s="3">
        <v>35847</v>
      </c>
    </row>
    <row r="402" spans="1:18" x14ac:dyDescent="0.25">
      <c r="A402" s="1">
        <v>60000398</v>
      </c>
      <c r="B402" s="3">
        <v>31</v>
      </c>
      <c r="C402" s="3">
        <v>2</v>
      </c>
      <c r="D402" s="3">
        <v>2</v>
      </c>
      <c r="E402" s="3">
        <v>3</v>
      </c>
      <c r="F402">
        <v>1</v>
      </c>
      <c r="G402" s="3">
        <v>27</v>
      </c>
      <c r="H402" s="3">
        <v>4</v>
      </c>
      <c r="I402" s="3">
        <v>2</v>
      </c>
      <c r="J402" s="3">
        <v>5</v>
      </c>
      <c r="K402" s="3">
        <v>34</v>
      </c>
      <c r="L402" s="3">
        <v>1</v>
      </c>
      <c r="M402">
        <v>2</v>
      </c>
      <c r="N402">
        <v>1</v>
      </c>
      <c r="O402">
        <v>1</v>
      </c>
      <c r="P402" s="3">
        <v>1</v>
      </c>
      <c r="Q402" s="3">
        <v>3</v>
      </c>
      <c r="R402" s="3">
        <v>73014</v>
      </c>
    </row>
    <row r="403" spans="1:18" x14ac:dyDescent="0.25">
      <c r="A403" s="1">
        <v>60000399</v>
      </c>
      <c r="B403" s="3">
        <v>40</v>
      </c>
      <c r="C403" s="3">
        <v>1</v>
      </c>
      <c r="D403" s="3">
        <v>1</v>
      </c>
      <c r="E403" s="3">
        <v>5</v>
      </c>
      <c r="F403">
        <v>1</v>
      </c>
      <c r="G403" s="3">
        <v>16</v>
      </c>
      <c r="H403" s="3">
        <v>2</v>
      </c>
      <c r="I403" s="3">
        <v>3</v>
      </c>
      <c r="J403" s="3">
        <v>11</v>
      </c>
      <c r="K403" s="3">
        <v>6</v>
      </c>
      <c r="L403" s="3">
        <v>1</v>
      </c>
      <c r="M403">
        <v>1</v>
      </c>
      <c r="N403">
        <v>2</v>
      </c>
      <c r="O403">
        <v>2</v>
      </c>
      <c r="P403" s="3">
        <v>1</v>
      </c>
      <c r="Q403" s="3">
        <v>2</v>
      </c>
      <c r="R403" s="3">
        <v>48965</v>
      </c>
    </row>
    <row r="404" spans="1:18" x14ac:dyDescent="0.25">
      <c r="A404" s="1">
        <v>60000400</v>
      </c>
      <c r="B404" s="3">
        <v>20</v>
      </c>
      <c r="C404" s="3">
        <v>1</v>
      </c>
      <c r="D404" s="3">
        <v>1</v>
      </c>
      <c r="E404" s="3">
        <v>8</v>
      </c>
      <c r="F404">
        <v>1</v>
      </c>
      <c r="G404" s="3">
        <v>15</v>
      </c>
      <c r="H404" s="3">
        <v>2</v>
      </c>
      <c r="I404" s="3">
        <v>3</v>
      </c>
      <c r="J404" s="3">
        <v>3</v>
      </c>
      <c r="K404" s="3">
        <v>32</v>
      </c>
      <c r="L404" s="3">
        <v>2</v>
      </c>
      <c r="M404">
        <v>1</v>
      </c>
      <c r="N404">
        <v>1</v>
      </c>
      <c r="O404">
        <v>1</v>
      </c>
      <c r="P404" s="3">
        <v>2</v>
      </c>
      <c r="Q404" s="3">
        <v>0</v>
      </c>
      <c r="R404" s="3">
        <v>23504</v>
      </c>
    </row>
    <row r="405" spans="1:18" x14ac:dyDescent="0.25">
      <c r="A405" s="1">
        <v>60000401</v>
      </c>
      <c r="B405" s="3">
        <v>27</v>
      </c>
      <c r="C405" s="3">
        <v>1</v>
      </c>
      <c r="D405" s="3">
        <v>1</v>
      </c>
      <c r="E405" s="3">
        <v>9</v>
      </c>
      <c r="F405" s="3">
        <v>1</v>
      </c>
      <c r="G405" s="3">
        <v>12</v>
      </c>
      <c r="H405" s="3">
        <v>2</v>
      </c>
      <c r="I405" s="3">
        <v>9</v>
      </c>
      <c r="J405" s="3">
        <v>12</v>
      </c>
      <c r="K405" s="3">
        <v>19</v>
      </c>
      <c r="L405" s="3">
        <v>1</v>
      </c>
      <c r="M405">
        <v>1</v>
      </c>
      <c r="N405">
        <v>1</v>
      </c>
      <c r="O405">
        <v>2</v>
      </c>
      <c r="P405" s="3">
        <v>2</v>
      </c>
      <c r="Q405" s="3">
        <v>0</v>
      </c>
      <c r="R405" s="3">
        <v>28997</v>
      </c>
    </row>
    <row r="406" spans="1:18" x14ac:dyDescent="0.25">
      <c r="A406" s="1">
        <v>60000402</v>
      </c>
      <c r="B406" s="3">
        <v>20</v>
      </c>
      <c r="C406" s="3">
        <v>2</v>
      </c>
      <c r="D406" s="3">
        <v>2</v>
      </c>
      <c r="E406" s="3">
        <v>12</v>
      </c>
      <c r="F406">
        <v>1</v>
      </c>
      <c r="G406" s="3">
        <v>37</v>
      </c>
      <c r="H406" s="3">
        <v>5</v>
      </c>
      <c r="I406" s="3">
        <v>12</v>
      </c>
      <c r="J406" s="3">
        <v>7</v>
      </c>
      <c r="K406" s="3">
        <v>42</v>
      </c>
      <c r="L406" s="3">
        <v>1</v>
      </c>
      <c r="M406">
        <v>1</v>
      </c>
      <c r="N406">
        <v>2</v>
      </c>
      <c r="O406">
        <v>1</v>
      </c>
      <c r="P406" s="3">
        <v>1</v>
      </c>
      <c r="Q406" s="3">
        <v>0</v>
      </c>
      <c r="R406" s="3">
        <v>29285</v>
      </c>
    </row>
    <row r="407" spans="1:18" x14ac:dyDescent="0.25">
      <c r="A407" s="1">
        <v>60000403</v>
      </c>
      <c r="B407" s="3">
        <v>58</v>
      </c>
      <c r="C407" s="3">
        <v>1</v>
      </c>
      <c r="D407" s="3">
        <v>1</v>
      </c>
      <c r="E407" s="3">
        <v>5</v>
      </c>
      <c r="F407">
        <v>1</v>
      </c>
      <c r="G407" s="3">
        <v>14</v>
      </c>
      <c r="H407" s="3">
        <v>2</v>
      </c>
      <c r="I407" s="3">
        <v>12</v>
      </c>
      <c r="J407" s="3">
        <v>7</v>
      </c>
      <c r="K407" s="3">
        <v>14</v>
      </c>
      <c r="L407" s="3">
        <v>3</v>
      </c>
      <c r="M407">
        <v>2</v>
      </c>
      <c r="N407">
        <v>2</v>
      </c>
      <c r="O407">
        <v>2</v>
      </c>
      <c r="P407" s="3">
        <v>2</v>
      </c>
      <c r="Q407" s="3">
        <v>0</v>
      </c>
      <c r="R407" s="3">
        <v>47552</v>
      </c>
    </row>
    <row r="408" spans="1:18" x14ac:dyDescent="0.25">
      <c r="A408" s="1">
        <v>60000404</v>
      </c>
      <c r="B408" s="3">
        <v>49</v>
      </c>
      <c r="C408" s="3">
        <v>2</v>
      </c>
      <c r="D408" s="3">
        <v>1</v>
      </c>
      <c r="E408" s="3">
        <v>1</v>
      </c>
      <c r="F408">
        <v>1</v>
      </c>
      <c r="G408" s="3">
        <v>36</v>
      </c>
      <c r="H408" s="3">
        <v>5</v>
      </c>
      <c r="I408" s="3">
        <v>2</v>
      </c>
      <c r="J408" s="3">
        <v>5</v>
      </c>
      <c r="K408" s="3">
        <v>10</v>
      </c>
      <c r="L408" s="3">
        <v>3</v>
      </c>
      <c r="M408">
        <v>1</v>
      </c>
      <c r="N408">
        <v>1</v>
      </c>
      <c r="O408">
        <v>1</v>
      </c>
      <c r="P408" s="3">
        <v>1</v>
      </c>
      <c r="Q408" s="3">
        <v>7</v>
      </c>
      <c r="R408" s="3">
        <v>69505</v>
      </c>
    </row>
    <row r="409" spans="1:18" x14ac:dyDescent="0.25">
      <c r="A409" s="1">
        <v>60000405</v>
      </c>
      <c r="B409" s="3">
        <v>59</v>
      </c>
      <c r="C409" s="3">
        <v>1</v>
      </c>
      <c r="D409" s="3">
        <v>2</v>
      </c>
      <c r="E409" s="3">
        <v>12</v>
      </c>
      <c r="F409" s="3">
        <v>1</v>
      </c>
      <c r="G409" s="3">
        <v>12</v>
      </c>
      <c r="H409" s="3">
        <v>2</v>
      </c>
      <c r="I409" s="3">
        <v>2</v>
      </c>
      <c r="J409" s="3">
        <v>9</v>
      </c>
      <c r="K409" s="3">
        <v>13</v>
      </c>
      <c r="L409" s="3">
        <v>3</v>
      </c>
      <c r="M409">
        <v>1</v>
      </c>
      <c r="N409">
        <v>2</v>
      </c>
      <c r="O409">
        <v>1</v>
      </c>
      <c r="P409" s="3">
        <v>2</v>
      </c>
      <c r="Q409" s="3">
        <v>0</v>
      </c>
      <c r="R409" s="3">
        <v>67632</v>
      </c>
    </row>
    <row r="410" spans="1:18" x14ac:dyDescent="0.25">
      <c r="A410" s="1">
        <v>60000406</v>
      </c>
      <c r="B410" s="3">
        <v>20</v>
      </c>
      <c r="C410" s="3">
        <v>2</v>
      </c>
      <c r="D410" s="3">
        <v>1</v>
      </c>
      <c r="E410" s="3">
        <v>11</v>
      </c>
      <c r="F410">
        <v>1</v>
      </c>
      <c r="G410" s="3">
        <v>21</v>
      </c>
      <c r="H410" s="3">
        <v>3</v>
      </c>
      <c r="I410" s="3">
        <v>15</v>
      </c>
      <c r="J410" s="3">
        <v>13</v>
      </c>
      <c r="K410" s="3">
        <v>37</v>
      </c>
      <c r="L410" s="3">
        <v>2</v>
      </c>
      <c r="M410">
        <v>2</v>
      </c>
      <c r="N410">
        <v>2</v>
      </c>
      <c r="O410">
        <v>2</v>
      </c>
      <c r="P410" s="3">
        <v>2</v>
      </c>
      <c r="Q410" s="3">
        <v>0</v>
      </c>
      <c r="R410" s="3">
        <v>60132</v>
      </c>
    </row>
    <row r="411" spans="1:18" x14ac:dyDescent="0.25">
      <c r="A411" s="1">
        <v>60000407</v>
      </c>
      <c r="B411" s="3">
        <v>36</v>
      </c>
      <c r="C411" s="3">
        <v>2</v>
      </c>
      <c r="D411" s="3">
        <v>2</v>
      </c>
      <c r="E411" s="3">
        <v>4</v>
      </c>
      <c r="F411">
        <v>1</v>
      </c>
      <c r="G411" s="3">
        <v>38</v>
      </c>
      <c r="H411" s="3">
        <v>5</v>
      </c>
      <c r="I411" s="3">
        <v>16</v>
      </c>
      <c r="J411" s="3">
        <v>6</v>
      </c>
      <c r="K411" s="3">
        <v>12</v>
      </c>
      <c r="L411" s="3">
        <v>1</v>
      </c>
      <c r="M411">
        <v>1</v>
      </c>
      <c r="N411">
        <v>2</v>
      </c>
      <c r="O411">
        <v>1</v>
      </c>
      <c r="P411" s="3">
        <v>1</v>
      </c>
      <c r="Q411" s="3">
        <v>6</v>
      </c>
      <c r="R411" s="3">
        <v>81351</v>
      </c>
    </row>
    <row r="412" spans="1:18" x14ac:dyDescent="0.25">
      <c r="A412" s="1">
        <v>60000408</v>
      </c>
      <c r="B412" s="3">
        <v>62</v>
      </c>
      <c r="C412" s="3">
        <v>1</v>
      </c>
      <c r="D412" s="3">
        <v>1</v>
      </c>
      <c r="E412" s="3">
        <v>1</v>
      </c>
      <c r="F412">
        <v>1</v>
      </c>
      <c r="G412" s="3">
        <v>32</v>
      </c>
      <c r="H412" s="3">
        <v>5</v>
      </c>
      <c r="I412" s="3">
        <v>16</v>
      </c>
      <c r="J412" s="3">
        <v>8</v>
      </c>
      <c r="K412" s="3">
        <v>32</v>
      </c>
      <c r="L412" s="3">
        <v>1</v>
      </c>
      <c r="M412">
        <v>1</v>
      </c>
      <c r="N412">
        <v>1</v>
      </c>
      <c r="O412">
        <v>1</v>
      </c>
      <c r="P412" s="3">
        <v>1</v>
      </c>
      <c r="Q412" s="3">
        <v>1</v>
      </c>
      <c r="R412" s="3">
        <v>56880</v>
      </c>
    </row>
    <row r="413" spans="1:18" x14ac:dyDescent="0.25">
      <c r="A413" s="1">
        <v>60000409</v>
      </c>
      <c r="B413" s="3">
        <v>37</v>
      </c>
      <c r="C413" s="3">
        <v>2</v>
      </c>
      <c r="D413" s="3">
        <v>2</v>
      </c>
      <c r="E413" s="3">
        <v>11</v>
      </c>
      <c r="F413" s="3">
        <v>1</v>
      </c>
      <c r="G413" s="3">
        <v>30</v>
      </c>
      <c r="H413" s="3">
        <v>4</v>
      </c>
      <c r="I413" s="3">
        <v>12</v>
      </c>
      <c r="J413" s="3">
        <v>2</v>
      </c>
      <c r="K413" s="3">
        <v>6</v>
      </c>
      <c r="L413" s="3">
        <v>2</v>
      </c>
      <c r="M413">
        <v>2</v>
      </c>
      <c r="N413">
        <v>2</v>
      </c>
      <c r="O413">
        <v>2</v>
      </c>
      <c r="P413" s="3">
        <v>1</v>
      </c>
      <c r="Q413" s="3">
        <v>1</v>
      </c>
      <c r="R413" s="3">
        <v>58453</v>
      </c>
    </row>
    <row r="414" spans="1:18" x14ac:dyDescent="0.25">
      <c r="A414" s="1">
        <v>60000410</v>
      </c>
      <c r="B414" s="3">
        <v>54</v>
      </c>
      <c r="C414" s="3">
        <v>2</v>
      </c>
      <c r="D414" s="3">
        <v>2</v>
      </c>
      <c r="E414" s="3">
        <v>10</v>
      </c>
      <c r="F414">
        <v>1</v>
      </c>
      <c r="G414" s="3">
        <v>20</v>
      </c>
      <c r="H414" s="3">
        <v>3</v>
      </c>
      <c r="I414" s="3">
        <v>13</v>
      </c>
      <c r="J414" s="3">
        <v>10</v>
      </c>
      <c r="K414" s="3">
        <v>48</v>
      </c>
      <c r="L414" s="3">
        <v>2</v>
      </c>
      <c r="M414">
        <v>2</v>
      </c>
      <c r="N414">
        <v>2</v>
      </c>
      <c r="O414">
        <v>1</v>
      </c>
      <c r="P414" s="3">
        <v>1</v>
      </c>
      <c r="Q414" s="3">
        <v>5</v>
      </c>
      <c r="R414" s="3">
        <v>67984</v>
      </c>
    </row>
    <row r="415" spans="1:18" x14ac:dyDescent="0.25">
      <c r="A415" s="1">
        <v>60000411</v>
      </c>
      <c r="B415" s="3">
        <v>55</v>
      </c>
      <c r="C415" s="3">
        <v>1</v>
      </c>
      <c r="D415" s="3">
        <v>1</v>
      </c>
      <c r="E415" s="3">
        <v>8</v>
      </c>
      <c r="F415">
        <v>1</v>
      </c>
      <c r="G415" s="3">
        <v>32</v>
      </c>
      <c r="H415" s="3">
        <v>5</v>
      </c>
      <c r="I415" s="3">
        <v>3</v>
      </c>
      <c r="J415" s="3">
        <v>10</v>
      </c>
      <c r="K415" s="3">
        <v>50</v>
      </c>
      <c r="L415" s="3">
        <v>1</v>
      </c>
      <c r="M415">
        <v>1</v>
      </c>
      <c r="N415">
        <v>2</v>
      </c>
      <c r="O415">
        <v>2</v>
      </c>
      <c r="P415" s="3">
        <v>1</v>
      </c>
      <c r="Q415" s="3">
        <v>1</v>
      </c>
      <c r="R415" s="3">
        <v>72612</v>
      </c>
    </row>
    <row r="416" spans="1:18" x14ac:dyDescent="0.25">
      <c r="A416" s="1">
        <v>60000412</v>
      </c>
      <c r="B416" s="3">
        <v>30</v>
      </c>
      <c r="C416" s="3">
        <v>2</v>
      </c>
      <c r="D416" s="3">
        <v>2</v>
      </c>
      <c r="E416" s="3">
        <v>6</v>
      </c>
      <c r="F416">
        <v>1</v>
      </c>
      <c r="G416" s="3">
        <v>33</v>
      </c>
      <c r="H416" s="3">
        <v>5</v>
      </c>
      <c r="I416" s="3">
        <v>17</v>
      </c>
      <c r="J416" s="3">
        <v>2</v>
      </c>
      <c r="K416" s="3">
        <v>23</v>
      </c>
      <c r="L416" s="3">
        <v>3</v>
      </c>
      <c r="M416">
        <v>1</v>
      </c>
      <c r="N416">
        <v>2</v>
      </c>
      <c r="O416">
        <v>1</v>
      </c>
      <c r="P416" s="3">
        <v>2</v>
      </c>
      <c r="Q416" s="3">
        <v>0</v>
      </c>
      <c r="R416" s="3">
        <v>27132</v>
      </c>
    </row>
    <row r="417" spans="1:18" x14ac:dyDescent="0.25">
      <c r="A417" s="1">
        <v>60000413</v>
      </c>
      <c r="B417" s="3">
        <v>48</v>
      </c>
      <c r="C417" s="3">
        <v>1</v>
      </c>
      <c r="D417" s="3">
        <v>2</v>
      </c>
      <c r="E417" s="3">
        <v>9</v>
      </c>
      <c r="F417" s="3">
        <v>1</v>
      </c>
      <c r="G417" s="3">
        <v>36</v>
      </c>
      <c r="H417" s="3">
        <v>5</v>
      </c>
      <c r="I417" s="3">
        <v>1</v>
      </c>
      <c r="J417" s="3">
        <v>8</v>
      </c>
      <c r="K417" s="3">
        <v>2</v>
      </c>
      <c r="L417" s="3">
        <v>1</v>
      </c>
      <c r="M417">
        <v>1</v>
      </c>
      <c r="N417">
        <v>2</v>
      </c>
      <c r="O417">
        <v>2</v>
      </c>
      <c r="P417" s="3">
        <v>2</v>
      </c>
      <c r="Q417" s="3">
        <v>0</v>
      </c>
      <c r="R417" s="3">
        <v>42131</v>
      </c>
    </row>
    <row r="418" spans="1:18" x14ac:dyDescent="0.25">
      <c r="A418" s="1">
        <v>60000414</v>
      </c>
      <c r="B418" s="3">
        <v>57</v>
      </c>
      <c r="C418" s="3">
        <v>2</v>
      </c>
      <c r="D418" s="3">
        <v>1</v>
      </c>
      <c r="E418" s="3">
        <v>7</v>
      </c>
      <c r="F418">
        <v>1</v>
      </c>
      <c r="G418" s="3">
        <v>21</v>
      </c>
      <c r="H418" s="3">
        <v>3</v>
      </c>
      <c r="I418" s="3">
        <v>12</v>
      </c>
      <c r="J418" s="3">
        <v>6</v>
      </c>
      <c r="K418" s="3">
        <v>38</v>
      </c>
      <c r="L418" s="3">
        <v>2</v>
      </c>
      <c r="M418">
        <v>1</v>
      </c>
      <c r="N418">
        <v>1</v>
      </c>
      <c r="O418">
        <v>2</v>
      </c>
      <c r="P418" s="3">
        <v>1</v>
      </c>
      <c r="Q418" s="3">
        <v>4</v>
      </c>
      <c r="R418" s="3">
        <v>31293</v>
      </c>
    </row>
    <row r="419" spans="1:18" x14ac:dyDescent="0.25">
      <c r="A419" s="1">
        <v>60000415</v>
      </c>
      <c r="B419" s="3">
        <v>36</v>
      </c>
      <c r="C419" s="3">
        <v>1</v>
      </c>
      <c r="D419" s="3">
        <v>1</v>
      </c>
      <c r="E419" s="3">
        <v>4</v>
      </c>
      <c r="F419">
        <v>1</v>
      </c>
      <c r="G419" s="3">
        <v>28</v>
      </c>
      <c r="H419" s="3">
        <v>4</v>
      </c>
      <c r="I419" s="3">
        <v>11</v>
      </c>
      <c r="J419" s="3">
        <v>10</v>
      </c>
      <c r="K419" s="3">
        <v>23</v>
      </c>
      <c r="L419" s="3">
        <v>1</v>
      </c>
      <c r="M419">
        <v>2</v>
      </c>
      <c r="N419">
        <v>1</v>
      </c>
      <c r="O419">
        <v>2</v>
      </c>
      <c r="P419" s="3">
        <v>1</v>
      </c>
      <c r="Q419" s="3">
        <v>4</v>
      </c>
      <c r="R419" s="3">
        <v>50744</v>
      </c>
    </row>
    <row r="420" spans="1:18" x14ac:dyDescent="0.25">
      <c r="A420" s="1">
        <v>60000416</v>
      </c>
      <c r="B420" s="3">
        <v>54</v>
      </c>
      <c r="C420" s="3">
        <v>1</v>
      </c>
      <c r="D420" s="3">
        <v>2</v>
      </c>
      <c r="E420" s="3">
        <v>1</v>
      </c>
      <c r="F420">
        <v>1</v>
      </c>
      <c r="G420" s="3">
        <v>30</v>
      </c>
      <c r="H420" s="3">
        <v>4</v>
      </c>
      <c r="I420" s="3">
        <v>5</v>
      </c>
      <c r="J420" s="3">
        <v>10</v>
      </c>
      <c r="K420" s="3">
        <v>43</v>
      </c>
      <c r="L420" s="3">
        <v>3</v>
      </c>
      <c r="M420">
        <v>2</v>
      </c>
      <c r="N420">
        <v>1</v>
      </c>
      <c r="O420">
        <v>1</v>
      </c>
      <c r="P420" s="3">
        <v>2</v>
      </c>
      <c r="Q420" s="3">
        <v>0</v>
      </c>
      <c r="R420" s="3">
        <v>27824</v>
      </c>
    </row>
    <row r="421" spans="1:18" x14ac:dyDescent="0.25">
      <c r="A421" s="1">
        <v>60000417</v>
      </c>
      <c r="B421" s="3">
        <v>40</v>
      </c>
      <c r="C421" s="3">
        <v>1</v>
      </c>
      <c r="D421" s="3">
        <v>2</v>
      </c>
      <c r="E421" s="3">
        <v>9</v>
      </c>
      <c r="F421" s="3">
        <v>1</v>
      </c>
      <c r="G421" s="3">
        <v>19</v>
      </c>
      <c r="H421" s="3">
        <v>3</v>
      </c>
      <c r="I421" s="3">
        <v>15</v>
      </c>
      <c r="J421" s="3">
        <v>2</v>
      </c>
      <c r="K421" s="3">
        <v>12</v>
      </c>
      <c r="L421" s="3">
        <v>1</v>
      </c>
      <c r="M421">
        <v>1</v>
      </c>
      <c r="N421">
        <v>2</v>
      </c>
      <c r="O421">
        <v>1</v>
      </c>
      <c r="P421" s="3">
        <v>1</v>
      </c>
      <c r="Q421" s="3">
        <v>3</v>
      </c>
      <c r="R421" s="3">
        <v>37576</v>
      </c>
    </row>
    <row r="422" spans="1:18" x14ac:dyDescent="0.25">
      <c r="A422" s="1">
        <v>60000418</v>
      </c>
      <c r="B422" s="3">
        <v>34</v>
      </c>
      <c r="C422" s="3">
        <v>1</v>
      </c>
      <c r="D422" s="3">
        <v>1</v>
      </c>
      <c r="E422" s="3">
        <v>1</v>
      </c>
      <c r="F422">
        <v>1</v>
      </c>
      <c r="G422" s="3">
        <v>20</v>
      </c>
      <c r="H422" s="3">
        <v>3</v>
      </c>
      <c r="I422" s="3">
        <v>3</v>
      </c>
      <c r="J422" s="3">
        <v>13</v>
      </c>
      <c r="K422" s="3">
        <v>5</v>
      </c>
      <c r="L422" s="3">
        <v>1</v>
      </c>
      <c r="M422">
        <v>2</v>
      </c>
      <c r="N422">
        <v>1</v>
      </c>
      <c r="O422">
        <v>2</v>
      </c>
      <c r="P422" s="3">
        <v>2</v>
      </c>
      <c r="Q422" s="3">
        <v>0</v>
      </c>
      <c r="R422" s="3">
        <v>28458</v>
      </c>
    </row>
    <row r="423" spans="1:18" x14ac:dyDescent="0.25">
      <c r="A423" s="1">
        <v>60000419</v>
      </c>
      <c r="B423" s="3">
        <v>30</v>
      </c>
      <c r="C423" s="3">
        <v>1</v>
      </c>
      <c r="D423" s="3">
        <v>2</v>
      </c>
      <c r="E423" s="3">
        <v>8</v>
      </c>
      <c r="F423">
        <v>1</v>
      </c>
      <c r="G423" s="3">
        <v>18</v>
      </c>
      <c r="H423" s="3">
        <v>2</v>
      </c>
      <c r="I423" s="3">
        <v>13</v>
      </c>
      <c r="J423" s="3">
        <v>10</v>
      </c>
      <c r="K423" s="3">
        <v>22</v>
      </c>
      <c r="L423" s="3">
        <v>2</v>
      </c>
      <c r="M423">
        <v>1</v>
      </c>
      <c r="N423">
        <v>2</v>
      </c>
      <c r="O423">
        <v>2</v>
      </c>
      <c r="P423" s="3">
        <v>2</v>
      </c>
      <c r="Q423" s="3">
        <v>0</v>
      </c>
      <c r="R423" s="3">
        <v>23995</v>
      </c>
    </row>
    <row r="424" spans="1:18" x14ac:dyDescent="0.25">
      <c r="A424" s="1">
        <v>60000420</v>
      </c>
      <c r="B424" s="3">
        <v>50</v>
      </c>
      <c r="C424" s="3">
        <v>2</v>
      </c>
      <c r="D424" s="3">
        <v>1</v>
      </c>
      <c r="E424" s="3">
        <v>9</v>
      </c>
      <c r="F424">
        <v>1</v>
      </c>
      <c r="G424" s="3">
        <v>26</v>
      </c>
      <c r="H424" s="3">
        <v>4</v>
      </c>
      <c r="I424" s="3">
        <v>3</v>
      </c>
      <c r="J424" s="3">
        <v>6</v>
      </c>
      <c r="K424" s="3">
        <v>29</v>
      </c>
      <c r="L424" s="3">
        <v>2</v>
      </c>
      <c r="M424">
        <v>1</v>
      </c>
      <c r="N424">
        <v>1</v>
      </c>
      <c r="O424">
        <v>1</v>
      </c>
      <c r="P424" s="3">
        <v>1</v>
      </c>
      <c r="Q424" s="3">
        <v>5</v>
      </c>
      <c r="R424" s="3">
        <v>23626</v>
      </c>
    </row>
    <row r="425" spans="1:18" x14ac:dyDescent="0.25">
      <c r="A425" s="1">
        <v>60000421</v>
      </c>
      <c r="B425" s="3">
        <v>61</v>
      </c>
      <c r="C425" s="3">
        <v>2</v>
      </c>
      <c r="D425" s="3">
        <v>2</v>
      </c>
      <c r="E425" s="3">
        <v>10</v>
      </c>
      <c r="F425" s="3">
        <v>1</v>
      </c>
      <c r="G425" s="3">
        <v>10</v>
      </c>
      <c r="H425" s="3">
        <v>1</v>
      </c>
      <c r="I425" s="3">
        <v>5</v>
      </c>
      <c r="J425" s="3">
        <v>9</v>
      </c>
      <c r="K425" s="3">
        <v>10</v>
      </c>
      <c r="L425" s="3">
        <v>3</v>
      </c>
      <c r="M425">
        <v>2</v>
      </c>
      <c r="N425">
        <v>1</v>
      </c>
      <c r="O425">
        <v>1</v>
      </c>
      <c r="P425" s="3">
        <v>1</v>
      </c>
      <c r="Q425" s="3">
        <v>5</v>
      </c>
      <c r="R425" s="3">
        <v>24556</v>
      </c>
    </row>
    <row r="426" spans="1:18" x14ac:dyDescent="0.25">
      <c r="A426" s="1">
        <v>60000422</v>
      </c>
      <c r="B426" s="3">
        <v>23</v>
      </c>
      <c r="C426" s="3">
        <v>1</v>
      </c>
      <c r="D426" s="3">
        <v>1</v>
      </c>
      <c r="E426" s="3">
        <v>4</v>
      </c>
      <c r="F426">
        <v>1</v>
      </c>
      <c r="G426" s="3">
        <v>12</v>
      </c>
      <c r="H426" s="3">
        <v>2</v>
      </c>
      <c r="I426" s="3">
        <v>4</v>
      </c>
      <c r="J426" s="3">
        <v>1</v>
      </c>
      <c r="K426" s="3">
        <v>28</v>
      </c>
      <c r="L426" s="3">
        <v>3</v>
      </c>
      <c r="M426">
        <v>1</v>
      </c>
      <c r="N426">
        <v>1</v>
      </c>
      <c r="O426">
        <v>1</v>
      </c>
      <c r="P426" s="3">
        <v>1</v>
      </c>
      <c r="Q426" s="3">
        <v>7</v>
      </c>
      <c r="R426" s="3">
        <v>36555</v>
      </c>
    </row>
    <row r="427" spans="1:18" x14ac:dyDescent="0.25">
      <c r="A427" s="1">
        <v>60000423</v>
      </c>
      <c r="B427" s="3">
        <v>33</v>
      </c>
      <c r="C427" s="3">
        <v>2</v>
      </c>
      <c r="D427" s="3">
        <v>1</v>
      </c>
      <c r="E427" s="3">
        <v>8</v>
      </c>
      <c r="F427">
        <v>1</v>
      </c>
      <c r="G427" s="3">
        <v>30</v>
      </c>
      <c r="H427" s="3">
        <v>4</v>
      </c>
      <c r="I427" s="3">
        <v>3</v>
      </c>
      <c r="J427" s="3">
        <v>11</v>
      </c>
      <c r="K427" s="3">
        <v>3</v>
      </c>
      <c r="L427" s="3">
        <v>2</v>
      </c>
      <c r="M427">
        <v>2</v>
      </c>
      <c r="N427">
        <v>1</v>
      </c>
      <c r="O427">
        <v>2</v>
      </c>
      <c r="P427" s="3">
        <v>2</v>
      </c>
      <c r="Q427" s="3">
        <v>0</v>
      </c>
      <c r="R427" s="3">
        <v>61440</v>
      </c>
    </row>
    <row r="428" spans="1:18" x14ac:dyDescent="0.25">
      <c r="A428" s="1">
        <v>60000424</v>
      </c>
      <c r="B428" s="3">
        <v>22</v>
      </c>
      <c r="C428" s="3">
        <v>2</v>
      </c>
      <c r="D428" s="3">
        <v>2</v>
      </c>
      <c r="E428" s="3">
        <v>11</v>
      </c>
      <c r="F428">
        <v>1</v>
      </c>
      <c r="G428" s="3">
        <v>16</v>
      </c>
      <c r="H428" s="3">
        <v>2</v>
      </c>
      <c r="I428" s="3">
        <v>8</v>
      </c>
      <c r="J428" s="3">
        <v>8</v>
      </c>
      <c r="K428" s="3">
        <v>46</v>
      </c>
      <c r="L428" s="3">
        <v>2</v>
      </c>
      <c r="M428">
        <v>1</v>
      </c>
      <c r="N428">
        <v>1</v>
      </c>
      <c r="O428">
        <v>1</v>
      </c>
      <c r="P428" s="3">
        <v>1</v>
      </c>
      <c r="Q428" s="3">
        <v>7</v>
      </c>
      <c r="R428" s="3">
        <v>38307</v>
      </c>
    </row>
    <row r="429" spans="1:18" x14ac:dyDescent="0.25">
      <c r="A429" s="1">
        <v>60000425</v>
      </c>
      <c r="B429" s="3">
        <v>55</v>
      </c>
      <c r="C429" s="3">
        <v>2</v>
      </c>
      <c r="D429" s="3">
        <v>1</v>
      </c>
      <c r="E429" s="3">
        <v>1</v>
      </c>
      <c r="F429" s="3">
        <v>1</v>
      </c>
      <c r="G429" s="3">
        <v>24</v>
      </c>
      <c r="H429" s="3">
        <v>3</v>
      </c>
      <c r="I429" s="3">
        <v>17</v>
      </c>
      <c r="J429" s="3">
        <v>6</v>
      </c>
      <c r="K429" s="3">
        <v>32</v>
      </c>
      <c r="L429" s="3">
        <v>1</v>
      </c>
      <c r="M429">
        <v>2</v>
      </c>
      <c r="N429">
        <v>2</v>
      </c>
      <c r="O429">
        <v>2</v>
      </c>
      <c r="P429" s="3">
        <v>2</v>
      </c>
      <c r="Q429" s="3">
        <v>0</v>
      </c>
      <c r="R429" s="3">
        <v>49359</v>
      </c>
    </row>
    <row r="430" spans="1:18" x14ac:dyDescent="0.25">
      <c r="A430" s="1">
        <v>60000426</v>
      </c>
      <c r="B430" s="3">
        <v>34</v>
      </c>
      <c r="C430" s="3">
        <v>2</v>
      </c>
      <c r="D430" s="3">
        <v>2</v>
      </c>
      <c r="E430" s="3">
        <v>11</v>
      </c>
      <c r="F430">
        <v>1</v>
      </c>
      <c r="G430" s="3">
        <v>10</v>
      </c>
      <c r="H430" s="3">
        <v>1</v>
      </c>
      <c r="I430" s="3">
        <v>13</v>
      </c>
      <c r="J430" s="3">
        <v>10</v>
      </c>
      <c r="K430" s="3">
        <v>35</v>
      </c>
      <c r="L430" s="3">
        <v>3</v>
      </c>
      <c r="M430">
        <v>1</v>
      </c>
      <c r="N430">
        <v>2</v>
      </c>
      <c r="O430">
        <v>2</v>
      </c>
      <c r="P430" s="3">
        <v>1</v>
      </c>
      <c r="Q430" s="3">
        <v>4</v>
      </c>
      <c r="R430" s="3">
        <v>73142</v>
      </c>
    </row>
    <row r="431" spans="1:18" x14ac:dyDescent="0.25">
      <c r="A431" s="1">
        <v>60000427</v>
      </c>
      <c r="B431" s="3">
        <v>49</v>
      </c>
      <c r="C431" s="3">
        <v>2</v>
      </c>
      <c r="D431" s="3">
        <v>2</v>
      </c>
      <c r="E431" s="3">
        <v>5</v>
      </c>
      <c r="F431">
        <v>1</v>
      </c>
      <c r="G431" s="3">
        <v>22</v>
      </c>
      <c r="H431" s="3">
        <v>3</v>
      </c>
      <c r="I431" s="3">
        <v>7</v>
      </c>
      <c r="J431" s="3">
        <v>11</v>
      </c>
      <c r="K431" s="3">
        <v>29</v>
      </c>
      <c r="L431" s="3">
        <v>1</v>
      </c>
      <c r="M431">
        <v>1</v>
      </c>
      <c r="N431">
        <v>2</v>
      </c>
      <c r="O431">
        <v>2</v>
      </c>
      <c r="P431" s="3">
        <v>1</v>
      </c>
      <c r="Q431" s="3">
        <v>4</v>
      </c>
      <c r="R431" s="3">
        <v>36101</v>
      </c>
    </row>
    <row r="432" spans="1:18" x14ac:dyDescent="0.25">
      <c r="A432" s="1">
        <v>60000428</v>
      </c>
      <c r="B432" s="3">
        <v>47</v>
      </c>
      <c r="C432" s="3">
        <v>2</v>
      </c>
      <c r="D432" s="3">
        <v>2</v>
      </c>
      <c r="E432" s="3">
        <v>6</v>
      </c>
      <c r="F432">
        <v>1</v>
      </c>
      <c r="G432" s="3">
        <v>35</v>
      </c>
      <c r="H432" s="3">
        <v>5</v>
      </c>
      <c r="I432" s="3">
        <v>6</v>
      </c>
      <c r="J432" s="3">
        <v>13</v>
      </c>
      <c r="K432" s="3">
        <v>24</v>
      </c>
      <c r="L432" s="3">
        <v>2</v>
      </c>
      <c r="M432">
        <v>1</v>
      </c>
      <c r="N432">
        <v>1</v>
      </c>
      <c r="O432">
        <v>1</v>
      </c>
      <c r="P432" s="3">
        <v>1</v>
      </c>
      <c r="Q432" s="3">
        <v>5</v>
      </c>
      <c r="R432" s="3">
        <v>25090</v>
      </c>
    </row>
    <row r="433" spans="1:18" x14ac:dyDescent="0.25">
      <c r="A433" s="1">
        <v>60000429</v>
      </c>
      <c r="B433" s="3">
        <v>36</v>
      </c>
      <c r="C433" s="3">
        <v>1</v>
      </c>
      <c r="D433" s="3">
        <v>2</v>
      </c>
      <c r="E433" s="3">
        <v>1</v>
      </c>
      <c r="F433" s="3">
        <v>1</v>
      </c>
      <c r="G433" s="3">
        <v>33</v>
      </c>
      <c r="H433" s="3">
        <v>5</v>
      </c>
      <c r="I433" s="3">
        <v>10</v>
      </c>
      <c r="J433" s="3">
        <v>5</v>
      </c>
      <c r="K433" s="3">
        <v>43</v>
      </c>
      <c r="L433" s="3">
        <v>2</v>
      </c>
      <c r="M433">
        <v>1</v>
      </c>
      <c r="N433">
        <v>2</v>
      </c>
      <c r="O433">
        <v>1</v>
      </c>
      <c r="P433" s="3">
        <v>2</v>
      </c>
      <c r="Q433" s="3">
        <v>0</v>
      </c>
      <c r="R433" s="3">
        <v>41042</v>
      </c>
    </row>
    <row r="434" spans="1:18" x14ac:dyDescent="0.25">
      <c r="A434" s="1">
        <v>60000430</v>
      </c>
      <c r="B434" s="3">
        <v>29</v>
      </c>
      <c r="C434" s="3">
        <v>1</v>
      </c>
      <c r="D434" s="3">
        <v>2</v>
      </c>
      <c r="E434" s="3">
        <v>5</v>
      </c>
      <c r="F434">
        <v>1</v>
      </c>
      <c r="G434" s="3">
        <v>21</v>
      </c>
      <c r="H434" s="3">
        <v>3</v>
      </c>
      <c r="I434" s="3">
        <v>10</v>
      </c>
      <c r="J434" s="3">
        <v>1</v>
      </c>
      <c r="K434" s="3">
        <v>49</v>
      </c>
      <c r="L434" s="3">
        <v>1</v>
      </c>
      <c r="M434">
        <v>1</v>
      </c>
      <c r="N434">
        <v>2</v>
      </c>
      <c r="O434">
        <v>2</v>
      </c>
      <c r="P434" s="3">
        <v>2</v>
      </c>
      <c r="Q434" s="3">
        <v>0</v>
      </c>
      <c r="R434" s="3">
        <v>60451</v>
      </c>
    </row>
    <row r="435" spans="1:18" x14ac:dyDescent="0.25">
      <c r="A435" s="1">
        <v>60000431</v>
      </c>
      <c r="B435" s="3">
        <v>54</v>
      </c>
      <c r="C435" s="3">
        <v>1</v>
      </c>
      <c r="D435" s="3">
        <v>2</v>
      </c>
      <c r="E435" s="3">
        <v>11</v>
      </c>
      <c r="F435">
        <v>1</v>
      </c>
      <c r="G435" s="3">
        <v>12</v>
      </c>
      <c r="H435" s="3">
        <v>2</v>
      </c>
      <c r="I435" s="3">
        <v>17</v>
      </c>
      <c r="J435" s="3">
        <v>4</v>
      </c>
      <c r="K435" s="3">
        <v>4</v>
      </c>
      <c r="L435" s="3">
        <v>1</v>
      </c>
      <c r="M435">
        <v>1</v>
      </c>
      <c r="N435">
        <v>2</v>
      </c>
      <c r="O435">
        <v>1</v>
      </c>
      <c r="P435" s="3">
        <v>1</v>
      </c>
      <c r="Q435" s="3">
        <v>6</v>
      </c>
      <c r="R435" s="3">
        <v>26178</v>
      </c>
    </row>
    <row r="436" spans="1:18" x14ac:dyDescent="0.25">
      <c r="A436" s="1">
        <v>60000432</v>
      </c>
      <c r="B436" s="3">
        <v>31</v>
      </c>
      <c r="C436" s="3">
        <v>2</v>
      </c>
      <c r="D436" s="3">
        <v>1</v>
      </c>
      <c r="E436" s="3">
        <v>2</v>
      </c>
      <c r="F436">
        <v>1</v>
      </c>
      <c r="G436" s="3">
        <v>22</v>
      </c>
      <c r="H436" s="3">
        <v>3</v>
      </c>
      <c r="I436" s="3">
        <v>4</v>
      </c>
      <c r="J436" s="3">
        <v>5</v>
      </c>
      <c r="K436" s="3">
        <v>24</v>
      </c>
      <c r="L436" s="3">
        <v>1</v>
      </c>
      <c r="M436">
        <v>1</v>
      </c>
      <c r="N436">
        <v>1</v>
      </c>
      <c r="O436">
        <v>1</v>
      </c>
      <c r="P436" s="3">
        <v>1</v>
      </c>
      <c r="Q436" s="3">
        <v>1</v>
      </c>
      <c r="R436" s="3">
        <v>57367</v>
      </c>
    </row>
    <row r="437" spans="1:18" x14ac:dyDescent="0.25">
      <c r="A437" s="1">
        <v>60000433</v>
      </c>
      <c r="B437" s="3">
        <v>29</v>
      </c>
      <c r="C437" s="3">
        <v>1</v>
      </c>
      <c r="D437" s="3">
        <v>2</v>
      </c>
      <c r="E437" s="3">
        <v>8</v>
      </c>
      <c r="F437" s="3">
        <v>1</v>
      </c>
      <c r="G437" s="3">
        <v>33</v>
      </c>
      <c r="H437" s="3">
        <v>5</v>
      </c>
      <c r="I437" s="3">
        <v>12</v>
      </c>
      <c r="J437" s="3">
        <v>13</v>
      </c>
      <c r="K437" s="3">
        <v>26</v>
      </c>
      <c r="L437" s="3">
        <v>3</v>
      </c>
      <c r="M437">
        <v>1</v>
      </c>
      <c r="N437">
        <v>2</v>
      </c>
      <c r="O437">
        <v>1</v>
      </c>
      <c r="P437" s="3">
        <v>2</v>
      </c>
      <c r="Q437" s="3">
        <v>0</v>
      </c>
      <c r="R437" s="3">
        <v>70761</v>
      </c>
    </row>
    <row r="438" spans="1:18" x14ac:dyDescent="0.25">
      <c r="A438" s="1">
        <v>60000434</v>
      </c>
      <c r="B438" s="3">
        <v>51</v>
      </c>
      <c r="C438" s="3">
        <v>1</v>
      </c>
      <c r="D438" s="3">
        <v>1</v>
      </c>
      <c r="E438" s="3">
        <v>3</v>
      </c>
      <c r="F438">
        <v>1</v>
      </c>
      <c r="G438" s="3">
        <v>13</v>
      </c>
      <c r="H438" s="3">
        <v>2</v>
      </c>
      <c r="I438" s="3">
        <v>13</v>
      </c>
      <c r="J438" s="3">
        <v>3</v>
      </c>
      <c r="K438" s="3">
        <v>33</v>
      </c>
      <c r="L438" s="3">
        <v>1</v>
      </c>
      <c r="M438">
        <v>2</v>
      </c>
      <c r="N438">
        <v>2</v>
      </c>
      <c r="O438">
        <v>1</v>
      </c>
      <c r="P438" s="3">
        <v>1</v>
      </c>
      <c r="Q438" s="3">
        <v>2</v>
      </c>
      <c r="R438" s="3">
        <v>26855</v>
      </c>
    </row>
    <row r="439" spans="1:18" x14ac:dyDescent="0.25">
      <c r="A439" s="1">
        <v>60000435</v>
      </c>
      <c r="B439" s="3">
        <v>50</v>
      </c>
      <c r="C439" s="3">
        <v>2</v>
      </c>
      <c r="D439" s="3">
        <v>1</v>
      </c>
      <c r="E439" s="3">
        <v>1</v>
      </c>
      <c r="F439">
        <v>1</v>
      </c>
      <c r="G439" s="3">
        <v>33</v>
      </c>
      <c r="H439" s="3">
        <v>5</v>
      </c>
      <c r="I439" s="3">
        <v>6</v>
      </c>
      <c r="J439" s="3">
        <v>11</v>
      </c>
      <c r="K439" s="3">
        <v>24</v>
      </c>
      <c r="L439" s="3">
        <v>3</v>
      </c>
      <c r="M439">
        <v>2</v>
      </c>
      <c r="N439">
        <v>2</v>
      </c>
      <c r="O439">
        <v>1</v>
      </c>
      <c r="P439" s="3">
        <v>2</v>
      </c>
      <c r="Q439" s="3">
        <v>0</v>
      </c>
      <c r="R439" s="3">
        <v>78889</v>
      </c>
    </row>
    <row r="440" spans="1:18" x14ac:dyDescent="0.25">
      <c r="A440" s="1">
        <v>60000436</v>
      </c>
      <c r="B440" s="3">
        <v>65</v>
      </c>
      <c r="C440" s="3">
        <v>2</v>
      </c>
      <c r="D440" s="3">
        <v>1</v>
      </c>
      <c r="E440" s="3">
        <v>11</v>
      </c>
      <c r="F440">
        <v>1</v>
      </c>
      <c r="G440" s="3">
        <v>38</v>
      </c>
      <c r="H440" s="3">
        <v>5</v>
      </c>
      <c r="I440" s="3">
        <v>8</v>
      </c>
      <c r="J440" s="3">
        <v>13</v>
      </c>
      <c r="K440" s="3">
        <v>13</v>
      </c>
      <c r="L440" s="3">
        <v>2</v>
      </c>
      <c r="M440">
        <v>2</v>
      </c>
      <c r="N440">
        <v>2</v>
      </c>
      <c r="O440">
        <v>2</v>
      </c>
      <c r="P440" s="3">
        <v>1</v>
      </c>
      <c r="Q440" s="3">
        <v>3</v>
      </c>
      <c r="R440" s="3">
        <v>34581</v>
      </c>
    </row>
    <row r="441" spans="1:18" x14ac:dyDescent="0.25">
      <c r="A441" s="1">
        <v>60000437</v>
      </c>
      <c r="B441" s="3">
        <v>55</v>
      </c>
      <c r="C441" s="3">
        <v>1</v>
      </c>
      <c r="D441" s="3">
        <v>2</v>
      </c>
      <c r="E441" s="3">
        <v>8</v>
      </c>
      <c r="F441" s="3">
        <v>1</v>
      </c>
      <c r="G441" s="3">
        <v>37</v>
      </c>
      <c r="H441" s="3">
        <v>5</v>
      </c>
      <c r="I441" s="3">
        <v>1</v>
      </c>
      <c r="J441" s="3">
        <v>4</v>
      </c>
      <c r="K441" s="3">
        <v>27</v>
      </c>
      <c r="L441" s="3">
        <v>1</v>
      </c>
      <c r="M441">
        <v>2</v>
      </c>
      <c r="N441">
        <v>2</v>
      </c>
      <c r="O441">
        <v>2</v>
      </c>
      <c r="P441" s="3">
        <v>2</v>
      </c>
      <c r="Q441" s="3">
        <v>0</v>
      </c>
      <c r="R441" s="3">
        <v>38750</v>
      </c>
    </row>
    <row r="442" spans="1:18" x14ac:dyDescent="0.25">
      <c r="A442" s="1">
        <v>60000438</v>
      </c>
      <c r="B442" s="3">
        <v>26</v>
      </c>
      <c r="C442" s="3">
        <v>1</v>
      </c>
      <c r="D442" s="3">
        <v>2</v>
      </c>
      <c r="E442" s="3">
        <v>12</v>
      </c>
      <c r="F442">
        <v>1</v>
      </c>
      <c r="G442" s="3">
        <v>15</v>
      </c>
      <c r="H442" s="3">
        <v>2</v>
      </c>
      <c r="I442" s="3">
        <v>16</v>
      </c>
      <c r="J442" s="3">
        <v>3</v>
      </c>
      <c r="K442" s="3">
        <v>2</v>
      </c>
      <c r="L442" s="3">
        <v>1</v>
      </c>
      <c r="M442">
        <v>1</v>
      </c>
      <c r="N442">
        <v>1</v>
      </c>
      <c r="O442">
        <v>1</v>
      </c>
      <c r="P442" s="3">
        <v>1</v>
      </c>
      <c r="Q442" s="3">
        <v>3</v>
      </c>
      <c r="R442" s="3">
        <v>27003</v>
      </c>
    </row>
    <row r="443" spans="1:18" x14ac:dyDescent="0.25">
      <c r="A443" s="1">
        <v>60000439</v>
      </c>
      <c r="B443" s="3">
        <v>21</v>
      </c>
      <c r="C443" s="3">
        <v>2</v>
      </c>
      <c r="D443" s="3">
        <v>1</v>
      </c>
      <c r="E443" s="3">
        <v>10</v>
      </c>
      <c r="F443">
        <v>1</v>
      </c>
      <c r="G443" s="3">
        <v>10</v>
      </c>
      <c r="H443" s="3">
        <v>1</v>
      </c>
      <c r="I443" s="3">
        <v>16</v>
      </c>
      <c r="J443" s="3">
        <v>11</v>
      </c>
      <c r="K443" s="3">
        <v>38</v>
      </c>
      <c r="L443" s="3">
        <v>2</v>
      </c>
      <c r="M443">
        <v>2</v>
      </c>
      <c r="N443">
        <v>1</v>
      </c>
      <c r="O443">
        <v>1</v>
      </c>
      <c r="P443" s="3">
        <v>1</v>
      </c>
      <c r="Q443" s="3">
        <v>7</v>
      </c>
      <c r="R443" s="3">
        <v>35593</v>
      </c>
    </row>
    <row r="444" spans="1:18" x14ac:dyDescent="0.25">
      <c r="A444" s="1">
        <v>60000440</v>
      </c>
      <c r="B444" s="3">
        <v>49</v>
      </c>
      <c r="C444" s="3">
        <v>1</v>
      </c>
      <c r="D444" s="3">
        <v>1</v>
      </c>
      <c r="E444" s="3">
        <v>8</v>
      </c>
      <c r="F444">
        <v>3</v>
      </c>
      <c r="G444" s="3">
        <v>18</v>
      </c>
      <c r="H444" s="3">
        <v>2</v>
      </c>
      <c r="I444" s="3">
        <v>13</v>
      </c>
      <c r="J444" s="3">
        <v>9</v>
      </c>
      <c r="K444" s="3">
        <v>6</v>
      </c>
      <c r="L444" s="3">
        <v>3</v>
      </c>
      <c r="M444">
        <v>2</v>
      </c>
      <c r="N444">
        <v>1</v>
      </c>
      <c r="O444">
        <v>2</v>
      </c>
      <c r="P444" s="3">
        <v>1</v>
      </c>
      <c r="Q444" s="3">
        <v>4</v>
      </c>
      <c r="R444" s="3">
        <v>54011</v>
      </c>
    </row>
    <row r="445" spans="1:18" x14ac:dyDescent="0.25">
      <c r="A445" s="1">
        <v>60000441</v>
      </c>
      <c r="B445" s="3">
        <v>21</v>
      </c>
      <c r="C445" s="3">
        <v>1</v>
      </c>
      <c r="D445" s="3">
        <v>1</v>
      </c>
      <c r="E445" s="3">
        <v>5</v>
      </c>
      <c r="F445">
        <v>3</v>
      </c>
      <c r="G445" s="3">
        <v>10</v>
      </c>
      <c r="H445" s="3">
        <v>1</v>
      </c>
      <c r="I445" s="3">
        <v>8</v>
      </c>
      <c r="J445" s="3">
        <v>3</v>
      </c>
      <c r="K445" s="3">
        <v>39</v>
      </c>
      <c r="L445" s="3">
        <v>3</v>
      </c>
      <c r="M445">
        <v>1</v>
      </c>
      <c r="N445">
        <v>1</v>
      </c>
      <c r="O445">
        <v>2</v>
      </c>
      <c r="P445" s="3">
        <v>1</v>
      </c>
      <c r="Q445" s="3">
        <v>0</v>
      </c>
      <c r="R445" s="3">
        <v>39860</v>
      </c>
    </row>
    <row r="446" spans="1:18" x14ac:dyDescent="0.25">
      <c r="A446" s="1">
        <v>60000442</v>
      </c>
      <c r="B446" s="3">
        <v>20</v>
      </c>
      <c r="C446" s="3">
        <v>2</v>
      </c>
      <c r="D446" s="3">
        <v>2</v>
      </c>
      <c r="E446" s="3">
        <v>5</v>
      </c>
      <c r="F446">
        <v>1</v>
      </c>
      <c r="G446" s="3">
        <v>35</v>
      </c>
      <c r="H446" s="3">
        <v>5</v>
      </c>
      <c r="I446" s="3">
        <v>1</v>
      </c>
      <c r="J446" s="3">
        <v>1</v>
      </c>
      <c r="K446" s="3">
        <v>16</v>
      </c>
      <c r="L446" s="3">
        <v>1</v>
      </c>
      <c r="M446">
        <v>2</v>
      </c>
      <c r="N446">
        <v>2</v>
      </c>
      <c r="O446">
        <v>2</v>
      </c>
      <c r="P446" s="3">
        <v>2</v>
      </c>
      <c r="Q446" s="3">
        <v>0</v>
      </c>
      <c r="R446" s="3">
        <v>78921</v>
      </c>
    </row>
    <row r="447" spans="1:18" x14ac:dyDescent="0.25">
      <c r="A447" s="1">
        <v>60000443</v>
      </c>
      <c r="B447" s="3">
        <v>63</v>
      </c>
      <c r="C447" s="3">
        <v>2</v>
      </c>
      <c r="D447" s="3">
        <v>2</v>
      </c>
      <c r="E447" s="3">
        <v>11</v>
      </c>
      <c r="F447">
        <v>1</v>
      </c>
      <c r="G447" s="3">
        <v>37</v>
      </c>
      <c r="H447" s="3">
        <v>5</v>
      </c>
      <c r="I447" s="3">
        <v>11</v>
      </c>
      <c r="J447" s="3">
        <v>6</v>
      </c>
      <c r="K447" s="3">
        <v>33</v>
      </c>
      <c r="L447" s="3">
        <v>1</v>
      </c>
      <c r="M447">
        <v>1</v>
      </c>
      <c r="N447">
        <v>2</v>
      </c>
      <c r="O447">
        <v>1</v>
      </c>
      <c r="P447" s="3">
        <v>1</v>
      </c>
      <c r="Q447" s="3">
        <v>3</v>
      </c>
      <c r="R447" s="3">
        <v>49834</v>
      </c>
    </row>
    <row r="448" spans="1:18" x14ac:dyDescent="0.25">
      <c r="A448" s="1">
        <v>60000444</v>
      </c>
      <c r="B448" s="3">
        <v>37</v>
      </c>
      <c r="C448" s="3">
        <v>2</v>
      </c>
      <c r="D448" s="3">
        <v>1</v>
      </c>
      <c r="E448" s="3">
        <v>1</v>
      </c>
      <c r="F448">
        <v>2</v>
      </c>
      <c r="G448" s="3">
        <v>19</v>
      </c>
      <c r="H448" s="3">
        <v>3</v>
      </c>
      <c r="I448" s="3">
        <v>15</v>
      </c>
      <c r="J448" s="3">
        <v>10</v>
      </c>
      <c r="K448" s="3">
        <v>16</v>
      </c>
      <c r="L448" s="3">
        <v>3</v>
      </c>
      <c r="M448">
        <v>1</v>
      </c>
      <c r="N448">
        <v>1</v>
      </c>
      <c r="O448">
        <v>1</v>
      </c>
      <c r="P448" s="3">
        <v>2</v>
      </c>
      <c r="Q448" s="3">
        <v>0</v>
      </c>
      <c r="R448" s="3">
        <v>37822</v>
      </c>
    </row>
    <row r="449" spans="1:18" x14ac:dyDescent="0.25">
      <c r="A449" s="1">
        <v>60000445</v>
      </c>
      <c r="B449" s="3">
        <v>56</v>
      </c>
      <c r="C449" s="3">
        <v>1</v>
      </c>
      <c r="D449" s="3">
        <v>2</v>
      </c>
      <c r="E449" s="3">
        <v>10</v>
      </c>
      <c r="F449">
        <v>1</v>
      </c>
      <c r="G449" s="3">
        <v>30</v>
      </c>
      <c r="H449" s="3">
        <v>4</v>
      </c>
      <c r="I449" s="3">
        <v>1</v>
      </c>
      <c r="J449" s="3">
        <v>12</v>
      </c>
      <c r="K449" s="3">
        <v>15</v>
      </c>
      <c r="L449" s="3">
        <v>3</v>
      </c>
      <c r="M449">
        <v>1</v>
      </c>
      <c r="N449">
        <v>1</v>
      </c>
      <c r="O449">
        <v>1</v>
      </c>
      <c r="P449" s="3">
        <v>2</v>
      </c>
      <c r="Q449" s="3">
        <v>0</v>
      </c>
      <c r="R449" s="3">
        <v>38296</v>
      </c>
    </row>
    <row r="450" spans="1:18" x14ac:dyDescent="0.25">
      <c r="A450" s="1">
        <v>60000446</v>
      </c>
      <c r="B450" s="3">
        <v>44</v>
      </c>
      <c r="C450" s="3">
        <v>2</v>
      </c>
      <c r="D450" s="3">
        <v>2</v>
      </c>
      <c r="E450" s="3">
        <v>9</v>
      </c>
      <c r="F450">
        <v>1</v>
      </c>
      <c r="G450" s="3">
        <v>14</v>
      </c>
      <c r="H450" s="3">
        <v>2</v>
      </c>
      <c r="I450" s="3">
        <v>14</v>
      </c>
      <c r="J450" s="3">
        <v>6</v>
      </c>
      <c r="K450" s="3">
        <v>16</v>
      </c>
      <c r="L450" s="3">
        <v>2</v>
      </c>
      <c r="M450">
        <v>1</v>
      </c>
      <c r="N450">
        <v>1</v>
      </c>
      <c r="O450">
        <v>1</v>
      </c>
      <c r="P450" s="3">
        <v>1</v>
      </c>
      <c r="Q450" s="3">
        <v>0</v>
      </c>
      <c r="R450" s="3">
        <v>78541</v>
      </c>
    </row>
    <row r="451" spans="1:18" x14ac:dyDescent="0.25">
      <c r="A451" s="1">
        <v>60000447</v>
      </c>
      <c r="B451" s="3">
        <v>29</v>
      </c>
      <c r="C451" s="3">
        <v>1</v>
      </c>
      <c r="D451" s="3">
        <v>2</v>
      </c>
      <c r="E451" s="3">
        <v>12</v>
      </c>
      <c r="F451">
        <v>2</v>
      </c>
      <c r="G451" s="3">
        <v>30</v>
      </c>
      <c r="H451" s="3">
        <v>4</v>
      </c>
      <c r="I451" s="3">
        <v>16</v>
      </c>
      <c r="J451" s="3">
        <v>10</v>
      </c>
      <c r="K451" s="3">
        <v>40</v>
      </c>
      <c r="L451" s="3">
        <v>1</v>
      </c>
      <c r="M451">
        <v>1</v>
      </c>
      <c r="N451">
        <v>1</v>
      </c>
      <c r="O451">
        <v>2</v>
      </c>
      <c r="P451" s="3">
        <v>2</v>
      </c>
      <c r="Q451" s="3">
        <v>0</v>
      </c>
      <c r="R451" s="3">
        <v>79092</v>
      </c>
    </row>
    <row r="452" spans="1:18" x14ac:dyDescent="0.25">
      <c r="A452" s="1">
        <v>60000448</v>
      </c>
      <c r="B452" s="3">
        <v>64</v>
      </c>
      <c r="C452" s="3">
        <v>1</v>
      </c>
      <c r="D452" s="3">
        <v>2</v>
      </c>
      <c r="E452" s="3">
        <v>2</v>
      </c>
      <c r="F452">
        <v>3</v>
      </c>
      <c r="G452" s="3">
        <v>18</v>
      </c>
      <c r="H452" s="3">
        <v>2</v>
      </c>
      <c r="I452" s="3">
        <v>8</v>
      </c>
      <c r="J452" s="3">
        <v>4</v>
      </c>
      <c r="K452" s="3">
        <v>2</v>
      </c>
      <c r="L452" s="3">
        <v>1</v>
      </c>
      <c r="M452">
        <v>1</v>
      </c>
      <c r="N452">
        <v>1</v>
      </c>
      <c r="O452">
        <v>2</v>
      </c>
      <c r="P452" s="3">
        <v>1</v>
      </c>
      <c r="Q452" s="3">
        <v>7</v>
      </c>
      <c r="R452" s="3">
        <v>76003</v>
      </c>
    </row>
    <row r="453" spans="1:18" x14ac:dyDescent="0.25">
      <c r="A453" s="1">
        <v>60000449</v>
      </c>
      <c r="B453" s="3">
        <v>44</v>
      </c>
      <c r="C453" s="3">
        <v>2</v>
      </c>
      <c r="D453" s="3">
        <v>1</v>
      </c>
      <c r="E453" s="3">
        <v>8</v>
      </c>
      <c r="F453">
        <v>1</v>
      </c>
      <c r="G453" s="3">
        <v>34</v>
      </c>
      <c r="H453" s="3">
        <v>5</v>
      </c>
      <c r="I453" s="3">
        <v>10</v>
      </c>
      <c r="J453" s="3">
        <v>11</v>
      </c>
      <c r="K453" s="3">
        <v>42</v>
      </c>
      <c r="L453" s="3">
        <v>3</v>
      </c>
      <c r="M453">
        <v>1</v>
      </c>
      <c r="N453">
        <v>1</v>
      </c>
      <c r="O453">
        <v>1</v>
      </c>
      <c r="P453" s="3">
        <v>1</v>
      </c>
      <c r="Q453" s="3">
        <v>6</v>
      </c>
      <c r="R453" s="3">
        <v>46543</v>
      </c>
    </row>
    <row r="454" spans="1:18" x14ac:dyDescent="0.25">
      <c r="A454" s="1">
        <v>60000450</v>
      </c>
      <c r="B454" s="3">
        <v>29</v>
      </c>
      <c r="C454" s="3">
        <v>2</v>
      </c>
      <c r="D454" s="3">
        <v>2</v>
      </c>
      <c r="E454" s="3">
        <v>8</v>
      </c>
      <c r="F454">
        <v>1</v>
      </c>
      <c r="G454" s="3">
        <v>18</v>
      </c>
      <c r="H454" s="3">
        <v>2</v>
      </c>
      <c r="I454" s="3">
        <v>6</v>
      </c>
      <c r="J454" s="3">
        <v>2</v>
      </c>
      <c r="K454" s="3">
        <v>19</v>
      </c>
      <c r="L454" s="3">
        <v>2</v>
      </c>
      <c r="M454">
        <v>1</v>
      </c>
      <c r="N454">
        <v>2</v>
      </c>
      <c r="O454">
        <v>1</v>
      </c>
      <c r="P454" s="3">
        <v>2</v>
      </c>
      <c r="Q454" s="3">
        <v>0</v>
      </c>
      <c r="R454" s="3">
        <v>81088</v>
      </c>
    </row>
    <row r="455" spans="1:18" x14ac:dyDescent="0.25">
      <c r="A455" s="1">
        <v>60000451</v>
      </c>
      <c r="B455" s="3">
        <v>48</v>
      </c>
      <c r="C455" s="3">
        <v>2</v>
      </c>
      <c r="D455" s="3">
        <v>2</v>
      </c>
      <c r="E455" s="3">
        <v>7</v>
      </c>
      <c r="F455">
        <v>1</v>
      </c>
      <c r="G455" s="3">
        <v>32</v>
      </c>
      <c r="H455" s="3">
        <v>5</v>
      </c>
      <c r="I455" s="3">
        <v>3</v>
      </c>
      <c r="J455" s="3">
        <v>1</v>
      </c>
      <c r="K455" s="3">
        <v>16</v>
      </c>
      <c r="L455" s="3">
        <v>2</v>
      </c>
      <c r="M455">
        <v>1</v>
      </c>
      <c r="N455">
        <v>1</v>
      </c>
      <c r="O455">
        <v>1</v>
      </c>
      <c r="P455" s="3">
        <v>1</v>
      </c>
      <c r="Q455" s="3">
        <v>1</v>
      </c>
      <c r="R455" s="3">
        <v>69209</v>
      </c>
    </row>
    <row r="456" spans="1:18" x14ac:dyDescent="0.25">
      <c r="A456" s="1">
        <v>60000452</v>
      </c>
      <c r="B456" s="3">
        <v>23</v>
      </c>
      <c r="C456" s="3">
        <v>1</v>
      </c>
      <c r="D456" s="3">
        <v>2</v>
      </c>
      <c r="E456" s="3">
        <v>7</v>
      </c>
      <c r="F456">
        <v>2</v>
      </c>
      <c r="G456" s="3">
        <v>31</v>
      </c>
      <c r="H456" s="3">
        <v>4</v>
      </c>
      <c r="I456" s="3">
        <v>9</v>
      </c>
      <c r="J456" s="3">
        <v>9</v>
      </c>
      <c r="K456" s="3">
        <v>44</v>
      </c>
      <c r="L456" s="3">
        <v>3</v>
      </c>
      <c r="M456">
        <v>2</v>
      </c>
      <c r="N456">
        <v>2</v>
      </c>
      <c r="O456">
        <v>2</v>
      </c>
      <c r="P456" s="3">
        <v>1</v>
      </c>
      <c r="Q456" s="3">
        <v>2</v>
      </c>
      <c r="R456" s="3">
        <v>33431</v>
      </c>
    </row>
    <row r="457" spans="1:18" x14ac:dyDescent="0.25">
      <c r="A457" s="1">
        <v>60000453</v>
      </c>
      <c r="B457" s="3">
        <v>38</v>
      </c>
      <c r="C457" s="3">
        <v>1</v>
      </c>
      <c r="D457" s="3">
        <v>1</v>
      </c>
      <c r="E457" s="3">
        <v>3</v>
      </c>
      <c r="F457">
        <v>2</v>
      </c>
      <c r="G457" s="3">
        <v>17</v>
      </c>
      <c r="H457" s="3">
        <v>2</v>
      </c>
      <c r="I457" s="3">
        <v>2</v>
      </c>
      <c r="J457" s="3">
        <v>8</v>
      </c>
      <c r="K457" s="3">
        <v>16</v>
      </c>
      <c r="L457" s="3">
        <v>2</v>
      </c>
      <c r="M457">
        <v>1</v>
      </c>
      <c r="N457">
        <v>2</v>
      </c>
      <c r="O457">
        <v>1</v>
      </c>
      <c r="P457" s="3">
        <v>1</v>
      </c>
      <c r="Q457" s="3">
        <v>0</v>
      </c>
      <c r="R457" s="3">
        <v>59716</v>
      </c>
    </row>
    <row r="458" spans="1:18" x14ac:dyDescent="0.25">
      <c r="A458" s="1">
        <v>60000454</v>
      </c>
      <c r="B458" s="3">
        <v>27</v>
      </c>
      <c r="C458" s="3">
        <v>1</v>
      </c>
      <c r="D458" s="3">
        <v>1</v>
      </c>
      <c r="E458" s="3">
        <v>3</v>
      </c>
      <c r="F458">
        <v>2</v>
      </c>
      <c r="G458" s="3">
        <v>32</v>
      </c>
      <c r="H458" s="3">
        <v>5</v>
      </c>
      <c r="I458" s="3">
        <v>14</v>
      </c>
      <c r="J458" s="3">
        <v>5</v>
      </c>
      <c r="K458" s="3">
        <v>13</v>
      </c>
      <c r="L458" s="3">
        <v>2</v>
      </c>
      <c r="M458">
        <v>2</v>
      </c>
      <c r="N458">
        <v>1</v>
      </c>
      <c r="O458">
        <v>2</v>
      </c>
      <c r="P458" s="3">
        <v>1</v>
      </c>
      <c r="Q458" s="3">
        <v>4</v>
      </c>
      <c r="R458" s="3">
        <v>84839</v>
      </c>
    </row>
    <row r="459" spans="1:18" x14ac:dyDescent="0.25">
      <c r="A459" s="1">
        <v>60000455</v>
      </c>
      <c r="B459" s="3">
        <v>57</v>
      </c>
      <c r="C459" s="3">
        <v>2</v>
      </c>
      <c r="D459" s="3">
        <v>2</v>
      </c>
      <c r="E459" s="3">
        <v>6</v>
      </c>
      <c r="F459">
        <v>3</v>
      </c>
      <c r="G459" s="3">
        <v>35</v>
      </c>
      <c r="H459" s="3">
        <v>5</v>
      </c>
      <c r="I459" s="3">
        <v>1</v>
      </c>
      <c r="J459" s="3">
        <v>9</v>
      </c>
      <c r="K459" s="3">
        <v>26</v>
      </c>
      <c r="L459" s="3">
        <v>1</v>
      </c>
      <c r="M459">
        <v>1</v>
      </c>
      <c r="N459">
        <v>1</v>
      </c>
      <c r="O459">
        <v>1</v>
      </c>
      <c r="P459" s="3">
        <v>2</v>
      </c>
      <c r="Q459" s="3">
        <v>0</v>
      </c>
      <c r="R459" s="3">
        <v>52981</v>
      </c>
    </row>
    <row r="460" spans="1:18" x14ac:dyDescent="0.25">
      <c r="A460" s="1">
        <v>60000456</v>
      </c>
      <c r="B460" s="3">
        <v>27</v>
      </c>
      <c r="C460" s="3">
        <v>1</v>
      </c>
      <c r="D460" s="3">
        <v>1</v>
      </c>
      <c r="E460" s="3">
        <v>3</v>
      </c>
      <c r="F460">
        <v>1</v>
      </c>
      <c r="G460" s="3">
        <v>25</v>
      </c>
      <c r="H460" s="3">
        <v>4</v>
      </c>
      <c r="I460" s="3">
        <v>5</v>
      </c>
      <c r="J460" s="3">
        <v>2</v>
      </c>
      <c r="K460" s="3">
        <v>20</v>
      </c>
      <c r="L460" s="3">
        <v>1</v>
      </c>
      <c r="M460">
        <v>2</v>
      </c>
      <c r="N460">
        <v>2</v>
      </c>
      <c r="O460">
        <v>2</v>
      </c>
      <c r="P460" s="3">
        <v>2</v>
      </c>
      <c r="Q460" s="3">
        <v>0</v>
      </c>
      <c r="R460" s="3">
        <v>75264</v>
      </c>
    </row>
    <row r="461" spans="1:18" x14ac:dyDescent="0.25">
      <c r="A461" s="1">
        <v>60000457</v>
      </c>
      <c r="B461" s="3">
        <v>54</v>
      </c>
      <c r="C461" s="3">
        <v>1</v>
      </c>
      <c r="D461" s="3">
        <v>2</v>
      </c>
      <c r="E461" s="3">
        <v>3</v>
      </c>
      <c r="F461">
        <v>2</v>
      </c>
      <c r="G461" s="3">
        <v>17</v>
      </c>
      <c r="H461" s="3">
        <v>2</v>
      </c>
      <c r="I461" s="3">
        <v>2</v>
      </c>
      <c r="J461" s="3">
        <v>2</v>
      </c>
      <c r="K461" s="3">
        <v>9</v>
      </c>
      <c r="L461" s="3">
        <v>3</v>
      </c>
      <c r="M461">
        <v>2</v>
      </c>
      <c r="N461">
        <v>1</v>
      </c>
      <c r="O461">
        <v>1</v>
      </c>
      <c r="P461" s="3">
        <v>2</v>
      </c>
      <c r="Q461" s="3">
        <v>0</v>
      </c>
      <c r="R461" s="3">
        <v>40112</v>
      </c>
    </row>
    <row r="462" spans="1:18" x14ac:dyDescent="0.25">
      <c r="A462" s="1">
        <v>60000458</v>
      </c>
      <c r="B462" s="3">
        <v>31</v>
      </c>
      <c r="C462" s="3">
        <v>1</v>
      </c>
      <c r="D462" s="3">
        <v>2</v>
      </c>
      <c r="E462" s="3">
        <v>6</v>
      </c>
      <c r="F462">
        <v>3</v>
      </c>
      <c r="G462" s="3">
        <v>32</v>
      </c>
      <c r="H462" s="3">
        <v>5</v>
      </c>
      <c r="I462" s="3">
        <v>9</v>
      </c>
      <c r="J462" s="3">
        <v>12</v>
      </c>
      <c r="K462" s="3">
        <v>18</v>
      </c>
      <c r="L462" s="3">
        <v>3</v>
      </c>
      <c r="M462">
        <v>1</v>
      </c>
      <c r="N462">
        <v>2</v>
      </c>
      <c r="O462">
        <v>2</v>
      </c>
      <c r="P462" s="3">
        <v>1</v>
      </c>
      <c r="Q462" s="3">
        <v>1</v>
      </c>
      <c r="R462" s="3">
        <v>35550</v>
      </c>
    </row>
    <row r="463" spans="1:18" x14ac:dyDescent="0.25">
      <c r="A463" s="1">
        <v>60000459</v>
      </c>
      <c r="B463" s="3">
        <v>21</v>
      </c>
      <c r="C463" s="3">
        <v>2</v>
      </c>
      <c r="D463" s="3">
        <v>2</v>
      </c>
      <c r="E463" s="3">
        <v>5</v>
      </c>
      <c r="F463">
        <v>3</v>
      </c>
      <c r="G463" s="3">
        <v>13</v>
      </c>
      <c r="H463" s="3">
        <v>2</v>
      </c>
      <c r="I463" s="3">
        <v>12</v>
      </c>
      <c r="J463" s="3">
        <v>5</v>
      </c>
      <c r="K463" s="3">
        <v>38</v>
      </c>
      <c r="L463" s="3">
        <v>1</v>
      </c>
      <c r="M463">
        <v>2</v>
      </c>
      <c r="N463">
        <v>1</v>
      </c>
      <c r="O463">
        <v>2</v>
      </c>
      <c r="P463" s="3">
        <v>2</v>
      </c>
      <c r="Q463" s="3">
        <v>0</v>
      </c>
      <c r="R463" s="3">
        <v>31234</v>
      </c>
    </row>
    <row r="464" spans="1:18" x14ac:dyDescent="0.25">
      <c r="A464" s="1">
        <v>60000460</v>
      </c>
      <c r="B464" s="3">
        <v>24</v>
      </c>
      <c r="C464" s="3">
        <v>1</v>
      </c>
      <c r="D464" s="3">
        <v>1</v>
      </c>
      <c r="E464" s="3">
        <v>5</v>
      </c>
      <c r="F464">
        <v>1</v>
      </c>
      <c r="G464" s="3">
        <v>15</v>
      </c>
      <c r="H464" s="3">
        <v>2</v>
      </c>
      <c r="I464" s="3">
        <v>3</v>
      </c>
      <c r="J464" s="3">
        <v>6</v>
      </c>
      <c r="K464" s="3">
        <v>26</v>
      </c>
      <c r="L464" s="3">
        <v>1</v>
      </c>
      <c r="M464">
        <v>2</v>
      </c>
      <c r="N464">
        <v>2</v>
      </c>
      <c r="O464">
        <v>1</v>
      </c>
      <c r="P464" s="3">
        <v>1</v>
      </c>
      <c r="Q464" s="3">
        <v>5</v>
      </c>
      <c r="R464" s="3">
        <v>47650</v>
      </c>
    </row>
    <row r="465" spans="1:18" x14ac:dyDescent="0.25">
      <c r="A465" s="1">
        <v>60000461</v>
      </c>
      <c r="B465" s="3">
        <v>61</v>
      </c>
      <c r="C465" s="3">
        <v>1</v>
      </c>
      <c r="D465" s="3">
        <v>1</v>
      </c>
      <c r="E465" s="3">
        <v>4</v>
      </c>
      <c r="F465">
        <v>3</v>
      </c>
      <c r="G465" s="3">
        <v>29</v>
      </c>
      <c r="H465" s="3">
        <v>4</v>
      </c>
      <c r="I465" s="3">
        <v>5</v>
      </c>
      <c r="J465" s="3">
        <v>9</v>
      </c>
      <c r="K465" s="3">
        <v>18</v>
      </c>
      <c r="L465" s="3">
        <v>2</v>
      </c>
      <c r="M465">
        <v>1</v>
      </c>
      <c r="N465">
        <v>1</v>
      </c>
      <c r="O465">
        <v>2</v>
      </c>
      <c r="P465" s="3">
        <v>2</v>
      </c>
      <c r="Q465" s="3">
        <v>0</v>
      </c>
      <c r="R465" s="3">
        <v>74390</v>
      </c>
    </row>
    <row r="466" spans="1:18" x14ac:dyDescent="0.25">
      <c r="A466" s="1">
        <v>60000462</v>
      </c>
      <c r="B466" s="3">
        <v>52</v>
      </c>
      <c r="C466" s="3">
        <v>2</v>
      </c>
      <c r="D466" s="3">
        <v>2</v>
      </c>
      <c r="E466" s="3">
        <v>7</v>
      </c>
      <c r="F466">
        <v>2</v>
      </c>
      <c r="G466" s="3">
        <v>27</v>
      </c>
      <c r="H466" s="3">
        <v>4</v>
      </c>
      <c r="I466" s="3">
        <v>17</v>
      </c>
      <c r="J466" s="3">
        <v>2</v>
      </c>
      <c r="K466" s="3">
        <v>5</v>
      </c>
      <c r="L466" s="3">
        <v>3</v>
      </c>
      <c r="M466">
        <v>1</v>
      </c>
      <c r="N466">
        <v>1</v>
      </c>
      <c r="O466">
        <v>2</v>
      </c>
      <c r="P466" s="3">
        <v>1</v>
      </c>
      <c r="Q466" s="3">
        <v>1</v>
      </c>
      <c r="R466" s="3">
        <v>31964</v>
      </c>
    </row>
    <row r="467" spans="1:18" x14ac:dyDescent="0.25">
      <c r="A467" s="1">
        <v>60000463</v>
      </c>
      <c r="B467" s="3">
        <v>62</v>
      </c>
      <c r="C467" s="3">
        <v>2</v>
      </c>
      <c r="D467" s="3">
        <v>2</v>
      </c>
      <c r="E467" s="3">
        <v>10</v>
      </c>
      <c r="F467">
        <v>2</v>
      </c>
      <c r="G467" s="3">
        <v>18</v>
      </c>
      <c r="H467" s="3">
        <v>2</v>
      </c>
      <c r="I467" s="3">
        <v>12</v>
      </c>
      <c r="J467" s="3">
        <v>13</v>
      </c>
      <c r="K467" s="3">
        <v>36</v>
      </c>
      <c r="L467" s="3">
        <v>3</v>
      </c>
      <c r="M467">
        <v>2</v>
      </c>
      <c r="N467">
        <v>1</v>
      </c>
      <c r="O467">
        <v>2</v>
      </c>
      <c r="P467" s="3">
        <v>2</v>
      </c>
      <c r="Q467" s="3">
        <v>0</v>
      </c>
      <c r="R467" s="3">
        <v>36758</v>
      </c>
    </row>
    <row r="468" spans="1:18" x14ac:dyDescent="0.25">
      <c r="A468" s="1">
        <v>60000464</v>
      </c>
      <c r="B468" s="3">
        <v>29</v>
      </c>
      <c r="C468" s="3">
        <v>1</v>
      </c>
      <c r="D468" s="3">
        <v>2</v>
      </c>
      <c r="E468" s="3">
        <v>8</v>
      </c>
      <c r="F468">
        <v>1</v>
      </c>
      <c r="G468" s="3">
        <v>20</v>
      </c>
      <c r="H468" s="3">
        <v>3</v>
      </c>
      <c r="I468" s="3">
        <v>12</v>
      </c>
      <c r="J468" s="3">
        <v>3</v>
      </c>
      <c r="K468" s="3">
        <v>22</v>
      </c>
      <c r="L468" s="3">
        <v>2</v>
      </c>
      <c r="M468">
        <v>2</v>
      </c>
      <c r="N468">
        <v>2</v>
      </c>
      <c r="O468">
        <v>1</v>
      </c>
      <c r="P468" s="3">
        <v>1</v>
      </c>
      <c r="Q468" s="3">
        <v>3</v>
      </c>
      <c r="R468" s="3">
        <v>74360</v>
      </c>
    </row>
    <row r="469" spans="1:18" x14ac:dyDescent="0.25">
      <c r="A469" s="1">
        <v>60000465</v>
      </c>
      <c r="B469" s="3">
        <v>53</v>
      </c>
      <c r="C469" s="3">
        <v>2</v>
      </c>
      <c r="D469" s="3">
        <v>2</v>
      </c>
      <c r="E469" s="3">
        <v>12</v>
      </c>
      <c r="F469">
        <v>2</v>
      </c>
      <c r="G469" s="3">
        <v>15</v>
      </c>
      <c r="H469" s="3">
        <v>2</v>
      </c>
      <c r="I469" s="3">
        <v>14</v>
      </c>
      <c r="J469" s="3">
        <v>2</v>
      </c>
      <c r="K469" s="3">
        <v>3</v>
      </c>
      <c r="L469" s="3">
        <v>3</v>
      </c>
      <c r="M469">
        <v>2</v>
      </c>
      <c r="N469">
        <v>2</v>
      </c>
      <c r="O469">
        <v>1</v>
      </c>
      <c r="P469" s="3">
        <v>1</v>
      </c>
      <c r="Q469" s="3">
        <v>6</v>
      </c>
      <c r="R469" s="3">
        <v>38342</v>
      </c>
    </row>
    <row r="470" spans="1:18" x14ac:dyDescent="0.25">
      <c r="A470" s="1">
        <v>60000466</v>
      </c>
      <c r="B470" s="3">
        <v>34</v>
      </c>
      <c r="C470" s="3">
        <v>2</v>
      </c>
      <c r="D470" s="3">
        <v>1</v>
      </c>
      <c r="E470" s="3">
        <v>10</v>
      </c>
      <c r="F470">
        <v>2</v>
      </c>
      <c r="G470" s="3">
        <v>25</v>
      </c>
      <c r="H470" s="3">
        <v>4</v>
      </c>
      <c r="I470" s="3">
        <v>5</v>
      </c>
      <c r="J470" s="3">
        <v>12</v>
      </c>
      <c r="K470" s="3">
        <v>42</v>
      </c>
      <c r="L470" s="3">
        <v>3</v>
      </c>
      <c r="M470">
        <v>2</v>
      </c>
      <c r="N470">
        <v>1</v>
      </c>
      <c r="O470">
        <v>2</v>
      </c>
      <c r="P470" s="3">
        <v>2</v>
      </c>
      <c r="Q470" s="3">
        <v>0</v>
      </c>
      <c r="R470" s="3">
        <v>23348</v>
      </c>
    </row>
    <row r="471" spans="1:18" x14ac:dyDescent="0.25">
      <c r="A471" s="1">
        <v>60000467</v>
      </c>
      <c r="B471" s="3">
        <v>23</v>
      </c>
      <c r="C471" s="3">
        <v>2</v>
      </c>
      <c r="D471" s="3">
        <v>1</v>
      </c>
      <c r="E471" s="3">
        <v>7</v>
      </c>
      <c r="F471">
        <v>2</v>
      </c>
      <c r="G471" s="3">
        <v>10</v>
      </c>
      <c r="H471" s="3">
        <v>1</v>
      </c>
      <c r="I471" s="3">
        <v>16</v>
      </c>
      <c r="J471" s="3">
        <v>4</v>
      </c>
      <c r="K471" s="3">
        <v>8</v>
      </c>
      <c r="L471" s="3">
        <v>3</v>
      </c>
      <c r="M471">
        <v>1</v>
      </c>
      <c r="N471">
        <v>1</v>
      </c>
      <c r="O471">
        <v>1</v>
      </c>
      <c r="P471" s="3">
        <v>2</v>
      </c>
      <c r="Q471" s="3">
        <v>0</v>
      </c>
      <c r="R471" s="3">
        <v>59192</v>
      </c>
    </row>
    <row r="472" spans="1:18" x14ac:dyDescent="0.25">
      <c r="A472" s="1">
        <v>60000468</v>
      </c>
      <c r="B472" s="3">
        <v>46</v>
      </c>
      <c r="C472" s="3">
        <v>1</v>
      </c>
      <c r="D472" s="3">
        <v>1</v>
      </c>
      <c r="E472" s="3">
        <v>3</v>
      </c>
      <c r="F472">
        <v>1</v>
      </c>
      <c r="G472" s="3">
        <v>13</v>
      </c>
      <c r="H472" s="3">
        <v>2</v>
      </c>
      <c r="I472" s="3">
        <v>13</v>
      </c>
      <c r="J472" s="3">
        <v>1</v>
      </c>
      <c r="K472" s="3">
        <v>18</v>
      </c>
      <c r="L472" s="3">
        <v>2</v>
      </c>
      <c r="M472">
        <v>2</v>
      </c>
      <c r="N472">
        <v>1</v>
      </c>
      <c r="O472">
        <v>2</v>
      </c>
      <c r="P472" s="3">
        <v>1</v>
      </c>
      <c r="Q472" s="3">
        <v>6</v>
      </c>
      <c r="R472" s="3">
        <v>84233</v>
      </c>
    </row>
    <row r="473" spans="1:18" x14ac:dyDescent="0.25">
      <c r="A473" s="1">
        <v>60000469</v>
      </c>
      <c r="B473" s="3">
        <v>53</v>
      </c>
      <c r="C473" s="3">
        <v>1</v>
      </c>
      <c r="D473" s="3">
        <v>2</v>
      </c>
      <c r="E473" s="3">
        <v>9</v>
      </c>
      <c r="F473">
        <v>1</v>
      </c>
      <c r="G473" s="3">
        <v>28</v>
      </c>
      <c r="H473" s="3">
        <v>4</v>
      </c>
      <c r="I473" s="3">
        <v>14</v>
      </c>
      <c r="J473" s="3">
        <v>7</v>
      </c>
      <c r="K473" s="3">
        <v>13</v>
      </c>
      <c r="L473" s="3">
        <v>1</v>
      </c>
      <c r="M473">
        <v>2</v>
      </c>
      <c r="N473">
        <v>1</v>
      </c>
      <c r="O473">
        <v>2</v>
      </c>
      <c r="P473" s="3">
        <v>1</v>
      </c>
      <c r="Q473" s="3">
        <v>6</v>
      </c>
      <c r="R473" s="3">
        <v>68066</v>
      </c>
    </row>
    <row r="474" spans="1:18" x14ac:dyDescent="0.25">
      <c r="A474" s="1">
        <v>60000470</v>
      </c>
      <c r="B474" s="3">
        <v>58</v>
      </c>
      <c r="C474" s="3">
        <v>2</v>
      </c>
      <c r="D474" s="3">
        <v>1</v>
      </c>
      <c r="E474" s="3">
        <v>11</v>
      </c>
      <c r="F474">
        <v>1</v>
      </c>
      <c r="G474" s="3">
        <v>23</v>
      </c>
      <c r="H474" s="3">
        <v>3</v>
      </c>
      <c r="I474" s="3">
        <v>10</v>
      </c>
      <c r="J474" s="3">
        <v>7</v>
      </c>
      <c r="K474" s="3">
        <v>6</v>
      </c>
      <c r="L474" s="3">
        <v>3</v>
      </c>
      <c r="M474">
        <v>1</v>
      </c>
      <c r="N474">
        <v>2</v>
      </c>
      <c r="O474">
        <v>1</v>
      </c>
      <c r="P474" s="3">
        <v>1</v>
      </c>
      <c r="Q474" s="3">
        <v>6</v>
      </c>
      <c r="R474" s="3">
        <v>76494</v>
      </c>
    </row>
    <row r="475" spans="1:18" x14ac:dyDescent="0.25">
      <c r="A475" s="1">
        <v>60000471</v>
      </c>
      <c r="B475" s="3">
        <v>49</v>
      </c>
      <c r="C475" s="3">
        <v>2</v>
      </c>
      <c r="D475" s="3">
        <v>1</v>
      </c>
      <c r="E475" s="3">
        <v>12</v>
      </c>
      <c r="F475">
        <v>3</v>
      </c>
      <c r="G475" s="3">
        <v>13</v>
      </c>
      <c r="H475" s="3">
        <v>2</v>
      </c>
      <c r="I475" s="3">
        <v>8</v>
      </c>
      <c r="J475" s="3">
        <v>8</v>
      </c>
      <c r="K475" s="3">
        <v>2</v>
      </c>
      <c r="L475" s="3">
        <v>3</v>
      </c>
      <c r="M475">
        <v>1</v>
      </c>
      <c r="N475">
        <v>1</v>
      </c>
      <c r="O475">
        <v>2</v>
      </c>
      <c r="P475" s="3">
        <v>1</v>
      </c>
      <c r="Q475" s="3">
        <v>6</v>
      </c>
      <c r="R475" s="3">
        <v>34053</v>
      </c>
    </row>
    <row r="476" spans="1:18" x14ac:dyDescent="0.25">
      <c r="A476" s="1">
        <v>60000472</v>
      </c>
      <c r="B476" s="3">
        <v>45</v>
      </c>
      <c r="C476" s="3">
        <v>2</v>
      </c>
      <c r="D476" s="3">
        <v>1</v>
      </c>
      <c r="E476" s="3">
        <v>9</v>
      </c>
      <c r="F476">
        <v>2</v>
      </c>
      <c r="G476" s="3">
        <v>32</v>
      </c>
      <c r="H476" s="3">
        <v>5</v>
      </c>
      <c r="I476" s="3">
        <v>14</v>
      </c>
      <c r="J476" s="3">
        <v>1</v>
      </c>
      <c r="K476" s="3">
        <v>37</v>
      </c>
      <c r="L476" s="3">
        <v>3</v>
      </c>
      <c r="M476">
        <v>2</v>
      </c>
      <c r="N476">
        <v>2</v>
      </c>
      <c r="O476">
        <v>1</v>
      </c>
      <c r="P476" s="3">
        <v>2</v>
      </c>
      <c r="Q476" s="3">
        <v>0</v>
      </c>
      <c r="R476" s="3">
        <v>79293</v>
      </c>
    </row>
    <row r="477" spans="1:18" x14ac:dyDescent="0.25">
      <c r="A477" s="1">
        <v>60000473</v>
      </c>
      <c r="B477" s="3">
        <v>37</v>
      </c>
      <c r="C477" s="3">
        <v>2</v>
      </c>
      <c r="D477" s="3">
        <v>2</v>
      </c>
      <c r="E477" s="3">
        <v>9</v>
      </c>
      <c r="F477">
        <v>2</v>
      </c>
      <c r="G477" s="3">
        <v>23</v>
      </c>
      <c r="H477" s="3">
        <v>3</v>
      </c>
      <c r="I477" s="3">
        <v>2</v>
      </c>
      <c r="J477" s="3">
        <v>1</v>
      </c>
      <c r="K477" s="3">
        <v>12</v>
      </c>
      <c r="L477" s="3">
        <v>2</v>
      </c>
      <c r="M477">
        <v>1</v>
      </c>
      <c r="N477">
        <v>2</v>
      </c>
      <c r="O477">
        <v>2</v>
      </c>
      <c r="P477" s="3">
        <v>2</v>
      </c>
      <c r="Q477" s="3">
        <v>0</v>
      </c>
      <c r="R477" s="3">
        <v>25683</v>
      </c>
    </row>
    <row r="478" spans="1:18" x14ac:dyDescent="0.25">
      <c r="A478" s="1">
        <v>60000474</v>
      </c>
      <c r="B478" s="3">
        <v>28</v>
      </c>
      <c r="C478" s="3">
        <v>2</v>
      </c>
      <c r="D478" s="3">
        <v>1</v>
      </c>
      <c r="E478" s="3">
        <v>9</v>
      </c>
      <c r="F478">
        <v>1</v>
      </c>
      <c r="G478" s="3">
        <v>15</v>
      </c>
      <c r="H478" s="3">
        <v>2</v>
      </c>
      <c r="I478" s="3">
        <v>7</v>
      </c>
      <c r="J478" s="3">
        <v>8</v>
      </c>
      <c r="K478" s="3">
        <v>45</v>
      </c>
      <c r="L478" s="3">
        <v>3</v>
      </c>
      <c r="M478">
        <v>1</v>
      </c>
      <c r="N478">
        <v>1</v>
      </c>
      <c r="O478">
        <v>2</v>
      </c>
      <c r="P478" s="3">
        <v>2</v>
      </c>
      <c r="Q478" s="3">
        <v>0</v>
      </c>
      <c r="R478" s="3">
        <v>57179</v>
      </c>
    </row>
    <row r="479" spans="1:18" x14ac:dyDescent="0.25">
      <c r="A479" s="1">
        <v>60000475</v>
      </c>
      <c r="B479" s="3">
        <v>45</v>
      </c>
      <c r="C479" s="3">
        <v>2</v>
      </c>
      <c r="D479" s="3">
        <v>2</v>
      </c>
      <c r="E479" s="3">
        <v>8</v>
      </c>
      <c r="F479">
        <v>2</v>
      </c>
      <c r="G479" s="3">
        <v>20</v>
      </c>
      <c r="H479" s="3">
        <v>3</v>
      </c>
      <c r="I479" s="3">
        <v>1</v>
      </c>
      <c r="J479" s="3">
        <v>7</v>
      </c>
      <c r="K479" s="3">
        <v>47</v>
      </c>
      <c r="L479" s="3">
        <v>3</v>
      </c>
      <c r="M479">
        <v>2</v>
      </c>
      <c r="N479">
        <v>1</v>
      </c>
      <c r="O479">
        <v>1</v>
      </c>
      <c r="P479" s="3">
        <v>1</v>
      </c>
      <c r="Q479" s="3">
        <v>3</v>
      </c>
      <c r="R479" s="3">
        <v>75455</v>
      </c>
    </row>
    <row r="480" spans="1:18" x14ac:dyDescent="0.25">
      <c r="A480" s="1">
        <v>60000476</v>
      </c>
      <c r="B480" s="3">
        <v>46</v>
      </c>
      <c r="C480" s="3">
        <v>2</v>
      </c>
      <c r="D480" s="3">
        <v>1</v>
      </c>
      <c r="E480" s="3">
        <v>4</v>
      </c>
      <c r="F480">
        <v>3</v>
      </c>
      <c r="G480" s="3">
        <v>31</v>
      </c>
      <c r="H480" s="3">
        <v>4</v>
      </c>
      <c r="I480" s="3">
        <v>1</v>
      </c>
      <c r="J480" s="3">
        <v>9</v>
      </c>
      <c r="K480" s="3">
        <v>45</v>
      </c>
      <c r="L480" s="3">
        <v>2</v>
      </c>
      <c r="M480">
        <v>1</v>
      </c>
      <c r="N480">
        <v>1</v>
      </c>
      <c r="O480">
        <v>2</v>
      </c>
      <c r="P480" s="3">
        <v>1</v>
      </c>
      <c r="Q480" s="3">
        <v>3</v>
      </c>
      <c r="R480" s="3">
        <v>84609</v>
      </c>
    </row>
    <row r="481" spans="1:18" x14ac:dyDescent="0.25">
      <c r="A481" s="1">
        <v>60000477</v>
      </c>
      <c r="B481" s="3">
        <v>50</v>
      </c>
      <c r="C481" s="3">
        <v>1</v>
      </c>
      <c r="D481" s="3">
        <v>2</v>
      </c>
      <c r="E481" s="3">
        <v>6</v>
      </c>
      <c r="F481">
        <v>2</v>
      </c>
      <c r="G481" s="3">
        <v>11</v>
      </c>
      <c r="H481" s="3">
        <v>1</v>
      </c>
      <c r="I481" s="3">
        <v>5</v>
      </c>
      <c r="J481" s="3">
        <v>7</v>
      </c>
      <c r="K481" s="3">
        <v>10</v>
      </c>
      <c r="L481" s="3">
        <v>1</v>
      </c>
      <c r="M481">
        <v>1</v>
      </c>
      <c r="N481">
        <v>1</v>
      </c>
      <c r="O481">
        <v>2</v>
      </c>
      <c r="P481" s="3">
        <v>1</v>
      </c>
      <c r="Q481" s="3">
        <v>5</v>
      </c>
      <c r="R481" s="3">
        <v>55080</v>
      </c>
    </row>
    <row r="482" spans="1:18" x14ac:dyDescent="0.25">
      <c r="A482" s="1">
        <v>60000478</v>
      </c>
      <c r="B482" s="3">
        <v>25</v>
      </c>
      <c r="C482" s="3">
        <v>2</v>
      </c>
      <c r="D482" s="3">
        <v>1</v>
      </c>
      <c r="E482" s="3">
        <v>12</v>
      </c>
      <c r="F482">
        <v>1</v>
      </c>
      <c r="G482" s="3">
        <v>35</v>
      </c>
      <c r="H482" s="3">
        <v>5</v>
      </c>
      <c r="I482" s="3">
        <v>11</v>
      </c>
      <c r="J482" s="3">
        <v>12</v>
      </c>
      <c r="K482" s="3">
        <v>13</v>
      </c>
      <c r="L482" s="3">
        <v>1</v>
      </c>
      <c r="M482">
        <v>1</v>
      </c>
      <c r="N482">
        <v>2</v>
      </c>
      <c r="O482">
        <v>2</v>
      </c>
      <c r="P482" s="3">
        <v>1</v>
      </c>
      <c r="Q482" s="3">
        <v>3</v>
      </c>
      <c r="R482" s="3">
        <v>56686</v>
      </c>
    </row>
    <row r="483" spans="1:18" x14ac:dyDescent="0.25">
      <c r="A483" s="1">
        <v>60000479</v>
      </c>
      <c r="B483" s="3">
        <v>38</v>
      </c>
      <c r="C483" s="3">
        <v>2</v>
      </c>
      <c r="D483" s="3">
        <v>1</v>
      </c>
      <c r="E483" s="3">
        <v>10</v>
      </c>
      <c r="F483">
        <v>1</v>
      </c>
      <c r="G483" s="3">
        <v>35</v>
      </c>
      <c r="H483" s="3">
        <v>5</v>
      </c>
      <c r="I483" s="3">
        <v>17</v>
      </c>
      <c r="J483" s="3">
        <v>7</v>
      </c>
      <c r="K483" s="3">
        <v>13</v>
      </c>
      <c r="L483" s="3">
        <v>1</v>
      </c>
      <c r="M483">
        <v>2</v>
      </c>
      <c r="N483">
        <v>1</v>
      </c>
      <c r="O483">
        <v>1</v>
      </c>
      <c r="P483" s="3">
        <v>1</v>
      </c>
      <c r="Q483" s="3">
        <v>5</v>
      </c>
      <c r="R483" s="3">
        <v>61577</v>
      </c>
    </row>
    <row r="484" spans="1:18" x14ac:dyDescent="0.25">
      <c r="A484" s="1">
        <v>60000480</v>
      </c>
      <c r="B484" s="3">
        <v>38</v>
      </c>
      <c r="C484" s="3">
        <v>2</v>
      </c>
      <c r="D484" s="3">
        <v>1</v>
      </c>
      <c r="E484" s="3">
        <v>9</v>
      </c>
      <c r="F484">
        <v>2</v>
      </c>
      <c r="G484" s="3">
        <v>20</v>
      </c>
      <c r="H484" s="3">
        <v>3</v>
      </c>
      <c r="I484" s="3">
        <v>2</v>
      </c>
      <c r="J484" s="3">
        <v>1</v>
      </c>
      <c r="K484" s="3">
        <v>2</v>
      </c>
      <c r="L484" s="3">
        <v>1</v>
      </c>
      <c r="M484">
        <v>1</v>
      </c>
      <c r="N484">
        <v>1</v>
      </c>
      <c r="O484">
        <v>2</v>
      </c>
      <c r="P484" s="3">
        <v>2</v>
      </c>
      <c r="Q484" s="3">
        <v>0</v>
      </c>
      <c r="R484" s="3">
        <v>56751</v>
      </c>
    </row>
    <row r="485" spans="1:18" x14ac:dyDescent="0.25">
      <c r="A485" s="1">
        <v>60000481</v>
      </c>
      <c r="B485" s="3">
        <v>45</v>
      </c>
      <c r="C485" s="3">
        <v>1</v>
      </c>
      <c r="D485" s="3">
        <v>1</v>
      </c>
      <c r="E485" s="3">
        <v>1</v>
      </c>
      <c r="F485">
        <v>1</v>
      </c>
      <c r="G485" s="3">
        <v>32</v>
      </c>
      <c r="H485" s="3">
        <v>5</v>
      </c>
      <c r="I485" s="3">
        <v>9</v>
      </c>
      <c r="J485" s="3">
        <v>11</v>
      </c>
      <c r="K485" s="3">
        <v>21</v>
      </c>
      <c r="L485" s="3">
        <v>2</v>
      </c>
      <c r="M485">
        <v>1</v>
      </c>
      <c r="N485">
        <v>2</v>
      </c>
      <c r="O485">
        <v>2</v>
      </c>
      <c r="P485" s="3">
        <v>1</v>
      </c>
      <c r="Q485" s="3">
        <v>3</v>
      </c>
      <c r="R485" s="3">
        <v>68563</v>
      </c>
    </row>
    <row r="486" spans="1:18" x14ac:dyDescent="0.25">
      <c r="A486" s="1">
        <v>60000482</v>
      </c>
      <c r="B486" s="3">
        <v>48</v>
      </c>
      <c r="C486" s="3">
        <v>1</v>
      </c>
      <c r="D486" s="3">
        <v>1</v>
      </c>
      <c r="E486" s="3">
        <v>10</v>
      </c>
      <c r="F486">
        <v>1</v>
      </c>
      <c r="G486" s="3">
        <v>31</v>
      </c>
      <c r="H486" s="3">
        <v>4</v>
      </c>
      <c r="I486" s="3">
        <v>1</v>
      </c>
      <c r="J486" s="3">
        <v>1</v>
      </c>
      <c r="K486" s="3">
        <v>9</v>
      </c>
      <c r="L486" s="3">
        <v>1</v>
      </c>
      <c r="M486">
        <v>2</v>
      </c>
      <c r="N486">
        <v>2</v>
      </c>
      <c r="O486">
        <v>1</v>
      </c>
      <c r="P486" s="3">
        <v>1</v>
      </c>
      <c r="Q486" s="3">
        <v>3</v>
      </c>
      <c r="R486" s="3">
        <v>71105</v>
      </c>
    </row>
    <row r="487" spans="1:18" x14ac:dyDescent="0.25">
      <c r="A487" s="1">
        <v>60000483</v>
      </c>
      <c r="B487" s="3">
        <v>57</v>
      </c>
      <c r="C487" s="3">
        <v>2</v>
      </c>
      <c r="D487" s="3">
        <v>2</v>
      </c>
      <c r="E487" s="3">
        <v>4</v>
      </c>
      <c r="F487">
        <v>2</v>
      </c>
      <c r="G487" s="3">
        <v>35</v>
      </c>
      <c r="H487" s="3">
        <v>5</v>
      </c>
      <c r="I487" s="3">
        <v>11</v>
      </c>
      <c r="J487" s="3">
        <v>1</v>
      </c>
      <c r="K487" s="3">
        <v>46</v>
      </c>
      <c r="L487" s="3">
        <v>2</v>
      </c>
      <c r="M487">
        <v>1</v>
      </c>
      <c r="N487">
        <v>1</v>
      </c>
      <c r="O487">
        <v>1</v>
      </c>
      <c r="P487" s="3">
        <v>1</v>
      </c>
      <c r="Q487" s="3">
        <v>1</v>
      </c>
      <c r="R487" s="3">
        <v>60253</v>
      </c>
    </row>
    <row r="488" spans="1:18" x14ac:dyDescent="0.25">
      <c r="A488" s="1">
        <v>60000484</v>
      </c>
      <c r="B488" s="3">
        <v>60</v>
      </c>
      <c r="C488" s="3">
        <v>2</v>
      </c>
      <c r="D488" s="3">
        <v>1</v>
      </c>
      <c r="E488" s="3">
        <v>9</v>
      </c>
      <c r="F488">
        <v>1</v>
      </c>
      <c r="G488" s="3">
        <v>30</v>
      </c>
      <c r="H488" s="3">
        <v>4</v>
      </c>
      <c r="I488" s="3">
        <v>16</v>
      </c>
      <c r="J488" s="3">
        <v>8</v>
      </c>
      <c r="K488" s="3">
        <v>19</v>
      </c>
      <c r="L488" s="3">
        <v>2</v>
      </c>
      <c r="M488">
        <v>1</v>
      </c>
      <c r="N488">
        <v>2</v>
      </c>
      <c r="O488">
        <v>2</v>
      </c>
      <c r="P488" s="3">
        <v>1</v>
      </c>
      <c r="Q488" s="3">
        <v>1</v>
      </c>
      <c r="R488" s="3">
        <v>80860</v>
      </c>
    </row>
    <row r="489" spans="1:18" x14ac:dyDescent="0.25">
      <c r="A489" s="1">
        <v>60000485</v>
      </c>
      <c r="B489" s="3">
        <v>33</v>
      </c>
      <c r="C489" s="3">
        <v>1</v>
      </c>
      <c r="D489" s="3">
        <v>2</v>
      </c>
      <c r="E489" s="3">
        <v>5</v>
      </c>
      <c r="F489">
        <v>1</v>
      </c>
      <c r="G489" s="3">
        <v>11</v>
      </c>
      <c r="H489" s="3">
        <v>1</v>
      </c>
      <c r="I489" s="3">
        <v>6</v>
      </c>
      <c r="J489" s="3">
        <v>8</v>
      </c>
      <c r="K489" s="3">
        <v>12</v>
      </c>
      <c r="L489" s="3">
        <v>2</v>
      </c>
      <c r="M489">
        <v>1</v>
      </c>
      <c r="N489">
        <v>1</v>
      </c>
      <c r="O489">
        <v>2</v>
      </c>
      <c r="P489" s="3">
        <v>2</v>
      </c>
      <c r="Q489" s="3">
        <v>0</v>
      </c>
      <c r="R489" s="3">
        <v>48374</v>
      </c>
    </row>
    <row r="490" spans="1:18" x14ac:dyDescent="0.25">
      <c r="A490" s="1">
        <v>60000486</v>
      </c>
      <c r="B490" s="3">
        <v>61</v>
      </c>
      <c r="C490" s="3">
        <v>1</v>
      </c>
      <c r="D490" s="3">
        <v>1</v>
      </c>
      <c r="E490" s="3">
        <v>3</v>
      </c>
      <c r="F490">
        <v>1</v>
      </c>
      <c r="G490" s="3">
        <v>14</v>
      </c>
      <c r="H490" s="3">
        <v>2</v>
      </c>
      <c r="I490" s="3">
        <v>2</v>
      </c>
      <c r="J490" s="3">
        <v>2</v>
      </c>
      <c r="K490" s="3">
        <v>11</v>
      </c>
      <c r="L490" s="3">
        <v>3</v>
      </c>
      <c r="M490">
        <v>1</v>
      </c>
      <c r="N490">
        <v>1</v>
      </c>
      <c r="O490">
        <v>1</v>
      </c>
      <c r="P490" s="3">
        <v>2</v>
      </c>
      <c r="Q490" s="3">
        <v>0</v>
      </c>
      <c r="R490" s="3">
        <v>51538</v>
      </c>
    </row>
    <row r="491" spans="1:18" x14ac:dyDescent="0.25">
      <c r="A491" s="1">
        <v>60000487</v>
      </c>
      <c r="B491" s="3">
        <v>40</v>
      </c>
      <c r="C491" s="3">
        <v>2</v>
      </c>
      <c r="D491" s="3">
        <v>2</v>
      </c>
      <c r="E491" s="3">
        <v>7</v>
      </c>
      <c r="F491">
        <v>2</v>
      </c>
      <c r="G491" s="3">
        <v>18</v>
      </c>
      <c r="H491" s="3">
        <v>2</v>
      </c>
      <c r="I491" s="3">
        <v>3</v>
      </c>
      <c r="J491" s="3">
        <v>3</v>
      </c>
      <c r="K491" s="3">
        <v>31</v>
      </c>
      <c r="L491" s="3">
        <v>2</v>
      </c>
      <c r="M491">
        <v>2</v>
      </c>
      <c r="N491">
        <v>2</v>
      </c>
      <c r="O491">
        <v>2</v>
      </c>
      <c r="P491" s="3">
        <v>1</v>
      </c>
      <c r="Q491" s="3">
        <v>1</v>
      </c>
      <c r="R491" s="3">
        <v>39944</v>
      </c>
    </row>
    <row r="492" spans="1:18" x14ac:dyDescent="0.25">
      <c r="A492" s="1">
        <v>60000488</v>
      </c>
      <c r="B492" s="3">
        <v>63</v>
      </c>
      <c r="C492" s="3">
        <v>1</v>
      </c>
      <c r="D492" s="3">
        <v>1</v>
      </c>
      <c r="E492" s="3">
        <v>3</v>
      </c>
      <c r="F492">
        <v>2</v>
      </c>
      <c r="G492" s="3">
        <v>11</v>
      </c>
      <c r="H492" s="3">
        <v>1</v>
      </c>
      <c r="I492" s="3">
        <v>7</v>
      </c>
      <c r="J492" s="3">
        <v>1</v>
      </c>
      <c r="K492" s="3">
        <v>2</v>
      </c>
      <c r="L492" s="3">
        <v>1</v>
      </c>
      <c r="M492">
        <v>2</v>
      </c>
      <c r="N492">
        <v>1</v>
      </c>
      <c r="O492">
        <v>2</v>
      </c>
      <c r="P492" s="3">
        <v>1</v>
      </c>
      <c r="Q492" s="3">
        <v>2</v>
      </c>
      <c r="R492" s="3">
        <v>84587</v>
      </c>
    </row>
    <row r="493" spans="1:18" x14ac:dyDescent="0.25">
      <c r="A493" s="1">
        <v>60000489</v>
      </c>
      <c r="B493" s="3">
        <v>42</v>
      </c>
      <c r="C493" s="3">
        <v>2</v>
      </c>
      <c r="D493" s="3">
        <v>2</v>
      </c>
      <c r="E493" s="3">
        <v>10</v>
      </c>
      <c r="F493">
        <v>3</v>
      </c>
      <c r="G493" s="3">
        <v>36</v>
      </c>
      <c r="H493" s="3">
        <v>5</v>
      </c>
      <c r="I493" s="3">
        <v>4</v>
      </c>
      <c r="J493" s="3">
        <v>11</v>
      </c>
      <c r="K493" s="3">
        <v>41</v>
      </c>
      <c r="L493" s="3">
        <v>2</v>
      </c>
      <c r="M493">
        <v>2</v>
      </c>
      <c r="N493">
        <v>1</v>
      </c>
      <c r="O493">
        <v>1</v>
      </c>
      <c r="P493" s="3">
        <v>1</v>
      </c>
      <c r="Q493" s="3">
        <v>0</v>
      </c>
      <c r="R493" s="3">
        <v>30344</v>
      </c>
    </row>
    <row r="494" spans="1:18" x14ac:dyDescent="0.25">
      <c r="A494" s="1">
        <v>60000490</v>
      </c>
      <c r="B494" s="3">
        <v>39</v>
      </c>
      <c r="C494" s="3">
        <v>1</v>
      </c>
      <c r="D494" s="3">
        <v>1</v>
      </c>
      <c r="E494" s="3">
        <v>3</v>
      </c>
      <c r="F494">
        <v>3</v>
      </c>
      <c r="G494" s="3">
        <v>24</v>
      </c>
      <c r="H494" s="3">
        <v>3</v>
      </c>
      <c r="I494" s="3">
        <v>12</v>
      </c>
      <c r="J494" s="3">
        <v>10</v>
      </c>
      <c r="K494" s="3">
        <v>33</v>
      </c>
      <c r="L494" s="3">
        <v>2</v>
      </c>
      <c r="M494">
        <v>1</v>
      </c>
      <c r="N494">
        <v>2</v>
      </c>
      <c r="O494">
        <v>2</v>
      </c>
      <c r="P494" s="3">
        <v>1</v>
      </c>
      <c r="Q494" s="3">
        <v>2</v>
      </c>
      <c r="R494" s="3">
        <v>37773</v>
      </c>
    </row>
    <row r="495" spans="1:18" x14ac:dyDescent="0.25">
      <c r="A495" s="1">
        <v>60000491</v>
      </c>
      <c r="B495" s="3">
        <v>50</v>
      </c>
      <c r="C495" s="3">
        <v>2</v>
      </c>
      <c r="D495" s="3">
        <v>1</v>
      </c>
      <c r="E495" s="3">
        <v>10</v>
      </c>
      <c r="F495">
        <v>1</v>
      </c>
      <c r="G495" s="3">
        <v>32</v>
      </c>
      <c r="H495" s="3">
        <v>5</v>
      </c>
      <c r="I495" s="3">
        <v>4</v>
      </c>
      <c r="J495" s="3">
        <v>12</v>
      </c>
      <c r="K495" s="3">
        <v>50</v>
      </c>
      <c r="L495" s="3">
        <v>2</v>
      </c>
      <c r="M495">
        <v>1</v>
      </c>
      <c r="N495">
        <v>1</v>
      </c>
      <c r="O495">
        <v>2</v>
      </c>
      <c r="P495" s="3">
        <v>1</v>
      </c>
      <c r="Q495" s="3">
        <v>7</v>
      </c>
      <c r="R495" s="3">
        <v>54503</v>
      </c>
    </row>
    <row r="496" spans="1:18" x14ac:dyDescent="0.25">
      <c r="A496" s="1">
        <v>60000492</v>
      </c>
      <c r="B496" s="3">
        <v>33</v>
      </c>
      <c r="C496" s="3">
        <v>1</v>
      </c>
      <c r="D496" s="3">
        <v>1</v>
      </c>
      <c r="E496" s="3">
        <v>12</v>
      </c>
      <c r="F496">
        <v>3</v>
      </c>
      <c r="G496" s="3">
        <v>17</v>
      </c>
      <c r="H496" s="3">
        <v>2</v>
      </c>
      <c r="I496" s="3">
        <v>1</v>
      </c>
      <c r="J496" s="3">
        <v>2</v>
      </c>
      <c r="K496" s="3">
        <v>39</v>
      </c>
      <c r="L496" s="3">
        <v>2</v>
      </c>
      <c r="M496">
        <v>2</v>
      </c>
      <c r="N496">
        <v>2</v>
      </c>
      <c r="O496">
        <v>1</v>
      </c>
      <c r="P496" s="3">
        <v>1</v>
      </c>
      <c r="Q496" s="3">
        <v>2</v>
      </c>
      <c r="R496" s="3">
        <v>69843</v>
      </c>
    </row>
    <row r="497" spans="1:18" x14ac:dyDescent="0.25">
      <c r="A497" s="1">
        <v>60000493</v>
      </c>
      <c r="B497" s="3">
        <v>58</v>
      </c>
      <c r="C497" s="3">
        <v>1</v>
      </c>
      <c r="D497" s="3">
        <v>2</v>
      </c>
      <c r="E497" s="3">
        <v>8</v>
      </c>
      <c r="F497">
        <v>2</v>
      </c>
      <c r="G497" s="3">
        <v>26</v>
      </c>
      <c r="H497" s="3">
        <v>4</v>
      </c>
      <c r="I497" s="3">
        <v>16</v>
      </c>
      <c r="J497" s="3">
        <v>12</v>
      </c>
      <c r="K497" s="3">
        <v>40</v>
      </c>
      <c r="L497" s="3">
        <v>2</v>
      </c>
      <c r="M497">
        <v>2</v>
      </c>
      <c r="N497">
        <v>1</v>
      </c>
      <c r="O497">
        <v>1</v>
      </c>
      <c r="P497" s="3">
        <v>1</v>
      </c>
      <c r="Q497" s="3">
        <v>2</v>
      </c>
      <c r="R497" s="3">
        <v>52179</v>
      </c>
    </row>
    <row r="498" spans="1:18" x14ac:dyDescent="0.25">
      <c r="A498" s="1">
        <v>60000494</v>
      </c>
      <c r="B498" s="3">
        <v>51</v>
      </c>
      <c r="C498" s="3">
        <v>1</v>
      </c>
      <c r="D498" s="3">
        <v>1</v>
      </c>
      <c r="E498" s="3">
        <v>7</v>
      </c>
      <c r="F498">
        <v>3</v>
      </c>
      <c r="G498" s="3">
        <v>29</v>
      </c>
      <c r="H498" s="3">
        <v>4</v>
      </c>
      <c r="I498" s="3">
        <v>15</v>
      </c>
      <c r="J498" s="3">
        <v>6</v>
      </c>
      <c r="K498" s="3">
        <v>4</v>
      </c>
      <c r="L498" s="3">
        <v>1</v>
      </c>
      <c r="M498">
        <v>2</v>
      </c>
      <c r="N498">
        <v>1</v>
      </c>
      <c r="O498">
        <v>1</v>
      </c>
      <c r="P498" s="3">
        <v>2</v>
      </c>
      <c r="Q498" s="3">
        <v>0</v>
      </c>
      <c r="R498" s="3">
        <v>74828</v>
      </c>
    </row>
    <row r="499" spans="1:18" x14ac:dyDescent="0.25">
      <c r="A499" s="1">
        <v>60000495</v>
      </c>
      <c r="B499" s="3">
        <v>55</v>
      </c>
      <c r="C499" s="3">
        <v>1</v>
      </c>
      <c r="D499" s="3">
        <v>2</v>
      </c>
      <c r="E499" s="3">
        <v>1</v>
      </c>
      <c r="F499">
        <v>2</v>
      </c>
      <c r="G499" s="3">
        <v>10</v>
      </c>
      <c r="H499" s="3">
        <v>1</v>
      </c>
      <c r="I499" s="3">
        <v>7</v>
      </c>
      <c r="J499" s="3">
        <v>4</v>
      </c>
      <c r="K499" s="3">
        <v>15</v>
      </c>
      <c r="L499" s="3">
        <v>2</v>
      </c>
      <c r="M499">
        <v>1</v>
      </c>
      <c r="N499">
        <v>1</v>
      </c>
      <c r="O499">
        <v>2</v>
      </c>
      <c r="P499" s="3">
        <v>1</v>
      </c>
      <c r="Q499" s="3">
        <v>0</v>
      </c>
      <c r="R499" s="3">
        <v>33616</v>
      </c>
    </row>
    <row r="500" spans="1:18" x14ac:dyDescent="0.25">
      <c r="A500" s="1">
        <v>60000496</v>
      </c>
      <c r="B500" s="3">
        <v>20</v>
      </c>
      <c r="C500" s="3">
        <v>1</v>
      </c>
      <c r="D500" s="3">
        <v>2</v>
      </c>
      <c r="E500" s="3">
        <v>8</v>
      </c>
      <c r="F500">
        <v>1</v>
      </c>
      <c r="G500" s="3">
        <v>18</v>
      </c>
      <c r="H500" s="3">
        <v>2</v>
      </c>
      <c r="I500" s="3">
        <v>9</v>
      </c>
      <c r="J500" s="3">
        <v>3</v>
      </c>
      <c r="K500" s="3">
        <v>49</v>
      </c>
      <c r="L500" s="3">
        <v>3</v>
      </c>
      <c r="M500">
        <v>2</v>
      </c>
      <c r="N500">
        <v>2</v>
      </c>
      <c r="O500">
        <v>2</v>
      </c>
      <c r="P500" s="3">
        <v>2</v>
      </c>
      <c r="Q500" s="3">
        <v>0</v>
      </c>
      <c r="R500" s="3">
        <v>26557</v>
      </c>
    </row>
    <row r="501" spans="1:18" x14ac:dyDescent="0.25">
      <c r="A501" s="1">
        <v>60000497</v>
      </c>
      <c r="B501" s="3">
        <v>31</v>
      </c>
      <c r="C501" s="3">
        <v>1</v>
      </c>
      <c r="D501" s="3">
        <v>2</v>
      </c>
      <c r="E501" s="3">
        <v>7</v>
      </c>
      <c r="F501">
        <v>1</v>
      </c>
      <c r="G501" s="3">
        <v>30</v>
      </c>
      <c r="H501" s="3">
        <v>4</v>
      </c>
      <c r="I501" s="3">
        <v>17</v>
      </c>
      <c r="J501" s="3">
        <v>8</v>
      </c>
      <c r="K501" s="3">
        <v>30</v>
      </c>
      <c r="L501" s="3">
        <v>1</v>
      </c>
      <c r="M501">
        <v>2</v>
      </c>
      <c r="N501">
        <v>1</v>
      </c>
      <c r="O501">
        <v>2</v>
      </c>
      <c r="P501" s="3">
        <v>2</v>
      </c>
      <c r="Q501" s="3">
        <v>0</v>
      </c>
      <c r="R501" s="3">
        <v>62858</v>
      </c>
    </row>
    <row r="502" spans="1:18" x14ac:dyDescent="0.25">
      <c r="A502" s="1">
        <v>60000498</v>
      </c>
      <c r="B502" s="3">
        <v>22</v>
      </c>
      <c r="C502" s="3">
        <v>2</v>
      </c>
      <c r="D502" s="3">
        <v>2</v>
      </c>
      <c r="E502" s="3">
        <v>11</v>
      </c>
      <c r="F502">
        <v>1</v>
      </c>
      <c r="G502" s="3">
        <v>33</v>
      </c>
      <c r="H502" s="3">
        <v>5</v>
      </c>
      <c r="I502" s="3">
        <v>5</v>
      </c>
      <c r="J502" s="3">
        <v>7</v>
      </c>
      <c r="K502" s="3">
        <v>6</v>
      </c>
      <c r="L502" s="3">
        <v>2</v>
      </c>
      <c r="M502">
        <v>1</v>
      </c>
      <c r="N502">
        <v>2</v>
      </c>
      <c r="O502">
        <v>2</v>
      </c>
      <c r="P502" s="3">
        <v>1</v>
      </c>
      <c r="Q502" s="3">
        <v>1</v>
      </c>
      <c r="R502" s="3">
        <v>61560</v>
      </c>
    </row>
    <row r="503" spans="1:18" x14ac:dyDescent="0.25">
      <c r="A503" s="1">
        <v>60000499</v>
      </c>
      <c r="B503" s="3">
        <v>49</v>
      </c>
      <c r="C503" s="3">
        <v>2</v>
      </c>
      <c r="D503" s="3">
        <v>1</v>
      </c>
      <c r="E503" s="3">
        <v>11</v>
      </c>
      <c r="F503">
        <v>1</v>
      </c>
      <c r="G503" s="3">
        <v>18</v>
      </c>
      <c r="H503" s="3">
        <v>2</v>
      </c>
      <c r="I503" s="3">
        <v>1</v>
      </c>
      <c r="J503" s="3">
        <v>8</v>
      </c>
      <c r="K503" s="3">
        <v>28</v>
      </c>
      <c r="L503" s="3">
        <v>3</v>
      </c>
      <c r="M503">
        <v>1</v>
      </c>
      <c r="N503">
        <v>2</v>
      </c>
      <c r="O503">
        <v>2</v>
      </c>
      <c r="P503" s="3">
        <v>2</v>
      </c>
      <c r="Q503" s="3">
        <v>0</v>
      </c>
      <c r="R503" s="3">
        <v>79005</v>
      </c>
    </row>
    <row r="504" spans="1:18" x14ac:dyDescent="0.25">
      <c r="A504" s="1">
        <v>60000500</v>
      </c>
      <c r="B504" s="3">
        <v>42</v>
      </c>
      <c r="C504" s="3">
        <v>2</v>
      </c>
      <c r="D504" s="3">
        <v>2</v>
      </c>
      <c r="E504" s="3">
        <v>11</v>
      </c>
      <c r="F504">
        <v>2</v>
      </c>
      <c r="G504" s="3">
        <v>28</v>
      </c>
      <c r="H504" s="3">
        <v>4</v>
      </c>
      <c r="I504" s="3">
        <v>1</v>
      </c>
      <c r="J504" s="3">
        <v>6</v>
      </c>
      <c r="K504" s="3">
        <v>9</v>
      </c>
      <c r="L504" s="3">
        <v>2</v>
      </c>
      <c r="M504">
        <v>1</v>
      </c>
      <c r="N504">
        <v>2</v>
      </c>
      <c r="O504">
        <v>2</v>
      </c>
      <c r="P504" s="3">
        <v>2</v>
      </c>
      <c r="Q504" s="3">
        <v>0</v>
      </c>
      <c r="R504" s="3">
        <v>28323</v>
      </c>
    </row>
    <row r="505" spans="1:18" x14ac:dyDescent="0.25">
      <c r="A505" s="1">
        <v>60000501</v>
      </c>
      <c r="B505" s="3">
        <v>37</v>
      </c>
      <c r="C505" s="3">
        <v>2</v>
      </c>
      <c r="D505" s="3">
        <v>1</v>
      </c>
      <c r="E505" s="3">
        <v>7</v>
      </c>
      <c r="F505">
        <v>3</v>
      </c>
      <c r="G505" s="3">
        <v>18</v>
      </c>
      <c r="H505" s="3">
        <v>2</v>
      </c>
      <c r="I505" s="3">
        <v>11</v>
      </c>
      <c r="J505" s="3">
        <v>1</v>
      </c>
      <c r="K505" s="3">
        <v>47</v>
      </c>
      <c r="L505" s="3">
        <v>3</v>
      </c>
      <c r="M505">
        <v>2</v>
      </c>
      <c r="N505">
        <v>2</v>
      </c>
      <c r="O505">
        <v>1</v>
      </c>
      <c r="P505" s="3">
        <v>1</v>
      </c>
      <c r="Q505" s="3">
        <v>4</v>
      </c>
      <c r="R505" s="3">
        <v>52056</v>
      </c>
    </row>
    <row r="506" spans="1:18" x14ac:dyDescent="0.25">
      <c r="A506" s="1">
        <v>60000502</v>
      </c>
      <c r="B506" s="3">
        <v>62</v>
      </c>
      <c r="C506" s="3">
        <v>1</v>
      </c>
      <c r="D506" s="3">
        <v>2</v>
      </c>
      <c r="E506" s="3">
        <v>7</v>
      </c>
      <c r="F506">
        <v>2</v>
      </c>
      <c r="G506" s="3">
        <v>31</v>
      </c>
      <c r="H506" s="3">
        <v>4</v>
      </c>
      <c r="I506" s="3">
        <v>10</v>
      </c>
      <c r="J506" s="3">
        <v>12</v>
      </c>
      <c r="K506" s="3">
        <v>34</v>
      </c>
      <c r="L506" s="3">
        <v>2</v>
      </c>
      <c r="M506">
        <v>1</v>
      </c>
      <c r="N506">
        <v>2</v>
      </c>
      <c r="O506">
        <v>2</v>
      </c>
      <c r="P506" s="3">
        <v>2</v>
      </c>
      <c r="Q506" s="3">
        <v>0</v>
      </c>
      <c r="R506" s="3">
        <v>39339</v>
      </c>
    </row>
    <row r="507" spans="1:18" x14ac:dyDescent="0.25">
      <c r="A507" s="1">
        <v>60000503</v>
      </c>
      <c r="B507" s="3">
        <v>24</v>
      </c>
      <c r="C507" s="3">
        <v>2</v>
      </c>
      <c r="D507" s="3">
        <v>2</v>
      </c>
      <c r="E507" s="3">
        <v>8</v>
      </c>
      <c r="F507">
        <v>2</v>
      </c>
      <c r="G507" s="3">
        <v>27</v>
      </c>
      <c r="H507" s="3">
        <v>4</v>
      </c>
      <c r="I507" s="3">
        <v>17</v>
      </c>
      <c r="J507" s="3">
        <v>1</v>
      </c>
      <c r="K507" s="3">
        <v>11</v>
      </c>
      <c r="L507" s="3">
        <v>2</v>
      </c>
      <c r="M507">
        <v>1</v>
      </c>
      <c r="N507">
        <v>2</v>
      </c>
      <c r="O507">
        <v>1</v>
      </c>
      <c r="P507" s="3">
        <v>2</v>
      </c>
      <c r="Q507" s="3">
        <v>0</v>
      </c>
      <c r="R507" s="3">
        <v>41199</v>
      </c>
    </row>
    <row r="508" spans="1:18" x14ac:dyDescent="0.25">
      <c r="A508" s="1">
        <v>60000504</v>
      </c>
      <c r="B508" s="3">
        <v>24</v>
      </c>
      <c r="C508" s="3">
        <v>2</v>
      </c>
      <c r="D508" s="3">
        <v>2</v>
      </c>
      <c r="E508" s="3">
        <v>5</v>
      </c>
      <c r="F508">
        <v>3</v>
      </c>
      <c r="G508" s="3">
        <v>17</v>
      </c>
      <c r="H508" s="3">
        <v>2</v>
      </c>
      <c r="I508" s="3">
        <v>2</v>
      </c>
      <c r="J508" s="3">
        <v>10</v>
      </c>
      <c r="K508" s="3">
        <v>15</v>
      </c>
      <c r="L508" s="3">
        <v>1</v>
      </c>
      <c r="M508">
        <v>1</v>
      </c>
      <c r="N508">
        <v>2</v>
      </c>
      <c r="O508">
        <v>1</v>
      </c>
      <c r="P508" s="3">
        <v>2</v>
      </c>
      <c r="Q508" s="3">
        <v>0</v>
      </c>
      <c r="R508" s="3">
        <v>49602</v>
      </c>
    </row>
    <row r="509" spans="1:18" x14ac:dyDescent="0.25">
      <c r="A509" s="1">
        <v>60000505</v>
      </c>
      <c r="B509" s="3">
        <v>52</v>
      </c>
      <c r="C509" s="3">
        <v>1</v>
      </c>
      <c r="D509" s="3">
        <v>2</v>
      </c>
      <c r="E509" s="3">
        <v>9</v>
      </c>
      <c r="F509">
        <v>2</v>
      </c>
      <c r="G509" s="3">
        <v>20</v>
      </c>
      <c r="H509" s="3">
        <v>3</v>
      </c>
      <c r="I509" s="3">
        <v>7</v>
      </c>
      <c r="J509" s="3">
        <v>6</v>
      </c>
      <c r="K509" s="3">
        <v>18</v>
      </c>
      <c r="L509" s="3">
        <v>1</v>
      </c>
      <c r="M509">
        <v>1</v>
      </c>
      <c r="N509">
        <v>2</v>
      </c>
      <c r="O509">
        <v>1</v>
      </c>
      <c r="P509" s="3">
        <v>2</v>
      </c>
      <c r="Q509" s="3">
        <v>0</v>
      </c>
      <c r="R509" s="3">
        <v>36760</v>
      </c>
    </row>
    <row r="510" spans="1:18" x14ac:dyDescent="0.25">
      <c r="A510" s="1">
        <v>60000506</v>
      </c>
      <c r="B510" s="3">
        <v>54</v>
      </c>
      <c r="C510" s="3">
        <v>1</v>
      </c>
      <c r="D510" s="3">
        <v>1</v>
      </c>
      <c r="E510" s="3">
        <v>2</v>
      </c>
      <c r="F510">
        <v>2</v>
      </c>
      <c r="G510" s="3">
        <v>34</v>
      </c>
      <c r="H510" s="3">
        <v>5</v>
      </c>
      <c r="I510" s="3">
        <v>5</v>
      </c>
      <c r="J510" s="3">
        <v>4</v>
      </c>
      <c r="K510" s="3">
        <v>11</v>
      </c>
      <c r="L510" s="3">
        <v>2</v>
      </c>
      <c r="M510">
        <v>1</v>
      </c>
      <c r="N510">
        <v>1</v>
      </c>
      <c r="O510">
        <v>2</v>
      </c>
      <c r="P510" s="3">
        <v>2</v>
      </c>
      <c r="Q510" s="3">
        <v>0</v>
      </c>
      <c r="R510" s="3">
        <v>79375</v>
      </c>
    </row>
    <row r="511" spans="1:18" x14ac:dyDescent="0.25">
      <c r="A511" s="1">
        <v>60000507</v>
      </c>
      <c r="B511" s="3">
        <v>23</v>
      </c>
      <c r="C511" s="3">
        <v>1</v>
      </c>
      <c r="D511" s="3">
        <v>1</v>
      </c>
      <c r="E511" s="3">
        <v>10</v>
      </c>
      <c r="F511">
        <v>2</v>
      </c>
      <c r="G511" s="3">
        <v>28</v>
      </c>
      <c r="H511" s="3">
        <v>4</v>
      </c>
      <c r="I511" s="3">
        <v>2</v>
      </c>
      <c r="J511" s="3">
        <v>5</v>
      </c>
      <c r="K511" s="3">
        <v>34</v>
      </c>
      <c r="L511" s="3">
        <v>3</v>
      </c>
      <c r="M511">
        <v>2</v>
      </c>
      <c r="N511">
        <v>1</v>
      </c>
      <c r="O511">
        <v>1</v>
      </c>
      <c r="P511" s="3">
        <v>1</v>
      </c>
      <c r="Q511" s="3">
        <v>7</v>
      </c>
      <c r="R511" s="3">
        <v>77696</v>
      </c>
    </row>
    <row r="512" spans="1:18" x14ac:dyDescent="0.25">
      <c r="A512" s="1">
        <v>60000508</v>
      </c>
      <c r="B512" s="3">
        <v>37</v>
      </c>
      <c r="C512" s="3">
        <v>2</v>
      </c>
      <c r="D512" s="3">
        <v>1</v>
      </c>
      <c r="E512" s="3">
        <v>12</v>
      </c>
      <c r="F512">
        <v>3</v>
      </c>
      <c r="G512" s="3">
        <v>35</v>
      </c>
      <c r="H512" s="3">
        <v>5</v>
      </c>
      <c r="I512" s="3">
        <v>12</v>
      </c>
      <c r="J512" s="3">
        <v>7</v>
      </c>
      <c r="K512" s="3">
        <v>19</v>
      </c>
      <c r="L512" s="3">
        <v>3</v>
      </c>
      <c r="M512">
        <v>1</v>
      </c>
      <c r="N512">
        <v>1</v>
      </c>
      <c r="O512">
        <v>2</v>
      </c>
      <c r="P512" s="3">
        <v>2</v>
      </c>
      <c r="Q512" s="3">
        <v>0</v>
      </c>
      <c r="R512" s="3">
        <v>81384</v>
      </c>
    </row>
    <row r="513" spans="1:18" x14ac:dyDescent="0.25">
      <c r="A513" s="1">
        <v>60000509</v>
      </c>
      <c r="B513" s="3">
        <v>22</v>
      </c>
      <c r="C513" s="3">
        <v>1</v>
      </c>
      <c r="D513" s="3">
        <v>1</v>
      </c>
      <c r="E513" s="3">
        <v>5</v>
      </c>
      <c r="F513">
        <v>3</v>
      </c>
      <c r="G513" s="3">
        <v>36</v>
      </c>
      <c r="H513" s="3">
        <v>5</v>
      </c>
      <c r="I513" s="3">
        <v>14</v>
      </c>
      <c r="J513" s="3">
        <v>6</v>
      </c>
      <c r="K513" s="3">
        <v>11</v>
      </c>
      <c r="L513" s="3">
        <v>1</v>
      </c>
      <c r="M513">
        <v>1</v>
      </c>
      <c r="N513">
        <v>1</v>
      </c>
      <c r="O513">
        <v>1</v>
      </c>
      <c r="P513" s="3">
        <v>1</v>
      </c>
      <c r="Q513" s="3">
        <v>0</v>
      </c>
      <c r="R513" s="3">
        <v>64585</v>
      </c>
    </row>
    <row r="514" spans="1:18" x14ac:dyDescent="0.25">
      <c r="A514" s="1">
        <v>60000510</v>
      </c>
      <c r="B514" s="3">
        <v>22</v>
      </c>
      <c r="C514" s="3">
        <v>2</v>
      </c>
      <c r="D514" s="3">
        <v>1</v>
      </c>
      <c r="E514" s="3">
        <v>4</v>
      </c>
      <c r="F514">
        <v>2</v>
      </c>
      <c r="G514" s="3">
        <v>38</v>
      </c>
      <c r="H514" s="3">
        <v>5</v>
      </c>
      <c r="I514" s="3">
        <v>13</v>
      </c>
      <c r="J514" s="3">
        <v>12</v>
      </c>
      <c r="K514" s="3">
        <v>20</v>
      </c>
      <c r="L514" s="3">
        <v>2</v>
      </c>
      <c r="M514">
        <v>2</v>
      </c>
      <c r="N514">
        <v>2</v>
      </c>
      <c r="O514">
        <v>1</v>
      </c>
      <c r="P514" s="3">
        <v>1</v>
      </c>
      <c r="Q514" s="3">
        <v>6</v>
      </c>
      <c r="R514" s="3">
        <v>26416</v>
      </c>
    </row>
    <row r="515" spans="1:18" x14ac:dyDescent="0.25">
      <c r="A515" s="1">
        <v>60000511</v>
      </c>
      <c r="B515" s="3">
        <v>29</v>
      </c>
      <c r="C515" s="3">
        <v>2</v>
      </c>
      <c r="D515" s="3">
        <v>2</v>
      </c>
      <c r="E515" s="3">
        <v>6</v>
      </c>
      <c r="F515">
        <v>3</v>
      </c>
      <c r="G515" s="3">
        <v>27</v>
      </c>
      <c r="H515" s="3">
        <v>4</v>
      </c>
      <c r="I515" s="3">
        <v>13</v>
      </c>
      <c r="J515" s="3">
        <v>5</v>
      </c>
      <c r="K515" s="3">
        <v>8</v>
      </c>
      <c r="L515" s="3">
        <v>2</v>
      </c>
      <c r="M515">
        <v>2</v>
      </c>
      <c r="N515">
        <v>1</v>
      </c>
      <c r="O515">
        <v>1</v>
      </c>
      <c r="P515" s="3">
        <v>1</v>
      </c>
      <c r="Q515" s="3">
        <v>2</v>
      </c>
      <c r="R515" s="3">
        <v>64046</v>
      </c>
    </row>
    <row r="516" spans="1:18" x14ac:dyDescent="0.25">
      <c r="A516" s="1">
        <v>60000512</v>
      </c>
      <c r="B516" s="3">
        <v>38</v>
      </c>
      <c r="C516" s="3">
        <v>1</v>
      </c>
      <c r="D516" s="3">
        <v>2</v>
      </c>
      <c r="E516" s="3">
        <v>8</v>
      </c>
      <c r="F516">
        <v>2</v>
      </c>
      <c r="G516" s="3">
        <v>35</v>
      </c>
      <c r="H516" s="3">
        <v>5</v>
      </c>
      <c r="I516" s="3">
        <v>14</v>
      </c>
      <c r="J516" s="3">
        <v>6</v>
      </c>
      <c r="K516" s="3">
        <v>30</v>
      </c>
      <c r="L516" s="3">
        <v>3</v>
      </c>
      <c r="M516">
        <v>2</v>
      </c>
      <c r="N516">
        <v>2</v>
      </c>
      <c r="O516">
        <v>1</v>
      </c>
      <c r="P516" s="3">
        <v>1</v>
      </c>
      <c r="Q516" s="3">
        <v>7</v>
      </c>
      <c r="R516" s="3">
        <v>24939</v>
      </c>
    </row>
    <row r="517" spans="1:18" x14ac:dyDescent="0.25">
      <c r="A517" s="1">
        <v>60000513</v>
      </c>
      <c r="B517" s="3">
        <v>64</v>
      </c>
      <c r="C517" s="3">
        <v>1</v>
      </c>
      <c r="D517" s="3">
        <v>1</v>
      </c>
      <c r="E517" s="3">
        <v>6</v>
      </c>
      <c r="F517">
        <v>2</v>
      </c>
      <c r="G517" s="3">
        <v>35</v>
      </c>
      <c r="H517" s="3">
        <v>5</v>
      </c>
      <c r="I517" s="3">
        <v>8</v>
      </c>
      <c r="J517" s="3">
        <v>1</v>
      </c>
      <c r="K517" s="3">
        <v>13</v>
      </c>
      <c r="L517" s="3">
        <v>1</v>
      </c>
      <c r="M517">
        <v>1</v>
      </c>
      <c r="N517">
        <v>1</v>
      </c>
      <c r="O517">
        <v>1</v>
      </c>
      <c r="P517" s="3">
        <v>2</v>
      </c>
      <c r="Q517" s="3">
        <v>0</v>
      </c>
      <c r="R517" s="3">
        <v>79838</v>
      </c>
    </row>
    <row r="518" spans="1:18" x14ac:dyDescent="0.25">
      <c r="A518" s="1">
        <v>60000514</v>
      </c>
      <c r="B518" s="3">
        <v>59</v>
      </c>
      <c r="C518" s="3">
        <v>1</v>
      </c>
      <c r="D518" s="3">
        <v>2</v>
      </c>
      <c r="E518" s="3">
        <v>7</v>
      </c>
      <c r="F518">
        <v>1</v>
      </c>
      <c r="G518" s="3">
        <v>19</v>
      </c>
      <c r="H518" s="3">
        <v>3</v>
      </c>
      <c r="I518" s="3">
        <v>7</v>
      </c>
      <c r="J518" s="3">
        <v>1</v>
      </c>
      <c r="K518" s="3">
        <v>21</v>
      </c>
      <c r="L518" s="3">
        <v>1</v>
      </c>
      <c r="M518">
        <v>2</v>
      </c>
      <c r="N518">
        <v>1</v>
      </c>
      <c r="O518">
        <v>2</v>
      </c>
      <c r="P518" s="3">
        <v>1</v>
      </c>
      <c r="Q518" s="3">
        <v>7</v>
      </c>
      <c r="R518" s="3">
        <v>28883</v>
      </c>
    </row>
    <row r="519" spans="1:18" x14ac:dyDescent="0.25">
      <c r="A519" s="1">
        <v>60000515</v>
      </c>
      <c r="B519" s="3">
        <v>58</v>
      </c>
      <c r="C519" s="3">
        <v>1</v>
      </c>
      <c r="D519" s="3">
        <v>2</v>
      </c>
      <c r="E519" s="3">
        <v>7</v>
      </c>
      <c r="F519">
        <v>2</v>
      </c>
      <c r="G519" s="3">
        <v>25</v>
      </c>
      <c r="H519" s="3">
        <v>4</v>
      </c>
      <c r="I519" s="3">
        <v>17</v>
      </c>
      <c r="J519" s="3">
        <v>11</v>
      </c>
      <c r="K519" s="3">
        <v>19</v>
      </c>
      <c r="L519" s="3">
        <v>2</v>
      </c>
      <c r="M519">
        <v>2</v>
      </c>
      <c r="N519">
        <v>1</v>
      </c>
      <c r="O519">
        <v>1</v>
      </c>
      <c r="P519" s="3">
        <v>1</v>
      </c>
      <c r="Q519" s="3">
        <v>0</v>
      </c>
      <c r="R519" s="3">
        <v>82172</v>
      </c>
    </row>
    <row r="520" spans="1:18" x14ac:dyDescent="0.25">
      <c r="A520" s="1">
        <v>60000516</v>
      </c>
      <c r="B520" s="3">
        <v>22</v>
      </c>
      <c r="C520" s="3">
        <v>1</v>
      </c>
      <c r="D520" s="3">
        <v>1</v>
      </c>
      <c r="E520" s="3">
        <v>4</v>
      </c>
      <c r="F520">
        <v>1</v>
      </c>
      <c r="G520" s="3">
        <v>18</v>
      </c>
      <c r="H520" s="3">
        <v>2</v>
      </c>
      <c r="I520" s="3">
        <v>4</v>
      </c>
      <c r="J520" s="3">
        <v>9</v>
      </c>
      <c r="K520" s="3">
        <v>42</v>
      </c>
      <c r="L520" s="3">
        <v>2</v>
      </c>
      <c r="M520">
        <v>2</v>
      </c>
      <c r="N520">
        <v>1</v>
      </c>
      <c r="O520">
        <v>1</v>
      </c>
      <c r="P520" s="3">
        <v>2</v>
      </c>
      <c r="Q520" s="3">
        <v>0</v>
      </c>
      <c r="R520" s="3">
        <v>49849</v>
      </c>
    </row>
    <row r="521" spans="1:18" x14ac:dyDescent="0.25">
      <c r="A521" s="1">
        <v>60000517</v>
      </c>
      <c r="B521" s="3">
        <v>22</v>
      </c>
      <c r="C521" s="3">
        <v>1</v>
      </c>
      <c r="D521" s="3">
        <v>2</v>
      </c>
      <c r="E521" s="3">
        <v>3</v>
      </c>
      <c r="F521">
        <v>3</v>
      </c>
      <c r="G521" s="3">
        <v>16</v>
      </c>
      <c r="H521" s="3">
        <v>2</v>
      </c>
      <c r="I521" s="3">
        <v>8</v>
      </c>
      <c r="J521" s="3">
        <v>12</v>
      </c>
      <c r="K521" s="3">
        <v>6</v>
      </c>
      <c r="L521" s="3">
        <v>2</v>
      </c>
      <c r="M521">
        <v>1</v>
      </c>
      <c r="N521">
        <v>2</v>
      </c>
      <c r="O521">
        <v>2</v>
      </c>
      <c r="P521" s="3">
        <v>2</v>
      </c>
      <c r="Q521" s="3">
        <v>0</v>
      </c>
      <c r="R521" s="3">
        <v>55350</v>
      </c>
    </row>
    <row r="522" spans="1:18" x14ac:dyDescent="0.25">
      <c r="A522" s="1">
        <v>60000518</v>
      </c>
      <c r="B522" s="3">
        <v>45</v>
      </c>
      <c r="C522" s="3">
        <v>1</v>
      </c>
      <c r="D522" s="3">
        <v>1</v>
      </c>
      <c r="E522" s="3">
        <v>2</v>
      </c>
      <c r="F522">
        <v>1</v>
      </c>
      <c r="G522" s="3">
        <v>28</v>
      </c>
      <c r="H522" s="3">
        <v>4</v>
      </c>
      <c r="I522" s="3">
        <v>17</v>
      </c>
      <c r="J522" s="3">
        <v>10</v>
      </c>
      <c r="K522" s="3">
        <v>38</v>
      </c>
      <c r="L522" s="3">
        <v>3</v>
      </c>
      <c r="M522">
        <v>2</v>
      </c>
      <c r="N522">
        <v>1</v>
      </c>
      <c r="O522">
        <v>1</v>
      </c>
      <c r="P522" s="3">
        <v>1</v>
      </c>
      <c r="Q522" s="3">
        <v>3</v>
      </c>
      <c r="R522" s="3">
        <v>78750</v>
      </c>
    </row>
    <row r="523" spans="1:18" x14ac:dyDescent="0.25">
      <c r="A523" s="1">
        <v>60000519</v>
      </c>
      <c r="B523" s="3">
        <v>26</v>
      </c>
      <c r="C523" s="3">
        <v>2</v>
      </c>
      <c r="D523" s="3">
        <v>1</v>
      </c>
      <c r="E523" s="3">
        <v>8</v>
      </c>
      <c r="F523">
        <v>1</v>
      </c>
      <c r="G523" s="3">
        <v>17</v>
      </c>
      <c r="H523" s="3">
        <v>2</v>
      </c>
      <c r="I523" s="3">
        <v>1</v>
      </c>
      <c r="J523" s="3">
        <v>5</v>
      </c>
      <c r="K523" s="3">
        <v>20</v>
      </c>
      <c r="L523" s="3">
        <v>2</v>
      </c>
      <c r="M523">
        <v>1</v>
      </c>
      <c r="N523">
        <v>2</v>
      </c>
      <c r="O523">
        <v>1</v>
      </c>
      <c r="P523" s="3">
        <v>1</v>
      </c>
      <c r="Q523" s="3">
        <v>3</v>
      </c>
      <c r="R523" s="3">
        <v>76139</v>
      </c>
    </row>
    <row r="524" spans="1:18" x14ac:dyDescent="0.25">
      <c r="A524" s="1">
        <v>60000520</v>
      </c>
      <c r="B524" s="3">
        <v>54</v>
      </c>
      <c r="C524" s="3">
        <v>2</v>
      </c>
      <c r="D524" s="3">
        <v>1</v>
      </c>
      <c r="E524" s="3">
        <v>8</v>
      </c>
      <c r="F524">
        <v>3</v>
      </c>
      <c r="G524" s="3">
        <v>32</v>
      </c>
      <c r="H524" s="3">
        <v>5</v>
      </c>
      <c r="I524" s="3">
        <v>15</v>
      </c>
      <c r="J524" s="3">
        <v>1</v>
      </c>
      <c r="K524" s="3">
        <v>38</v>
      </c>
      <c r="L524" s="3">
        <v>1</v>
      </c>
      <c r="M524">
        <v>2</v>
      </c>
      <c r="N524">
        <v>2</v>
      </c>
      <c r="O524">
        <v>2</v>
      </c>
      <c r="P524" s="3">
        <v>1</v>
      </c>
      <c r="Q524" s="3">
        <v>7</v>
      </c>
      <c r="R524" s="3">
        <v>44697</v>
      </c>
    </row>
    <row r="525" spans="1:18" x14ac:dyDescent="0.25">
      <c r="A525" s="1">
        <v>60000521</v>
      </c>
      <c r="B525" s="3">
        <v>32</v>
      </c>
      <c r="C525" s="3">
        <v>2</v>
      </c>
      <c r="D525" s="3">
        <v>1</v>
      </c>
      <c r="E525" s="3">
        <v>1</v>
      </c>
      <c r="F525">
        <v>1</v>
      </c>
      <c r="G525" s="3">
        <v>32</v>
      </c>
      <c r="H525" s="3">
        <v>5</v>
      </c>
      <c r="I525" s="3">
        <v>11</v>
      </c>
      <c r="J525" s="3">
        <v>7</v>
      </c>
      <c r="K525" s="3">
        <v>33</v>
      </c>
      <c r="L525" s="3">
        <v>1</v>
      </c>
      <c r="M525">
        <v>2</v>
      </c>
      <c r="N525">
        <v>2</v>
      </c>
      <c r="O525">
        <v>1</v>
      </c>
      <c r="P525" s="3">
        <v>1</v>
      </c>
      <c r="Q525" s="3">
        <v>3</v>
      </c>
      <c r="R525" s="3">
        <v>29148</v>
      </c>
    </row>
    <row r="526" spans="1:18" x14ac:dyDescent="0.25">
      <c r="A526" s="1">
        <v>60000522</v>
      </c>
      <c r="B526" s="3">
        <v>26</v>
      </c>
      <c r="C526" s="3">
        <v>2</v>
      </c>
      <c r="D526" s="3">
        <v>2</v>
      </c>
      <c r="E526" s="3">
        <v>3</v>
      </c>
      <c r="F526">
        <v>2</v>
      </c>
      <c r="G526" s="3">
        <v>30</v>
      </c>
      <c r="H526" s="3">
        <v>4</v>
      </c>
      <c r="I526" s="3">
        <v>10</v>
      </c>
      <c r="J526" s="3">
        <v>5</v>
      </c>
      <c r="K526" s="3">
        <v>10</v>
      </c>
      <c r="L526" s="3">
        <v>2</v>
      </c>
      <c r="M526">
        <v>2</v>
      </c>
      <c r="N526">
        <v>1</v>
      </c>
      <c r="O526">
        <v>2</v>
      </c>
      <c r="P526" s="3">
        <v>1</v>
      </c>
      <c r="Q526" s="3">
        <v>7</v>
      </c>
      <c r="R526" s="3">
        <v>46375</v>
      </c>
    </row>
    <row r="527" spans="1:18" x14ac:dyDescent="0.25">
      <c r="A527" s="1">
        <v>60000523</v>
      </c>
      <c r="B527" s="3">
        <v>32</v>
      </c>
      <c r="C527" s="3">
        <v>1</v>
      </c>
      <c r="D527" s="3">
        <v>2</v>
      </c>
      <c r="E527" s="3">
        <v>9</v>
      </c>
      <c r="F527">
        <v>1</v>
      </c>
      <c r="G527" s="3">
        <v>10</v>
      </c>
      <c r="H527" s="3">
        <v>1</v>
      </c>
      <c r="I527" s="3">
        <v>4</v>
      </c>
      <c r="J527" s="3">
        <v>7</v>
      </c>
      <c r="K527" s="3">
        <v>8</v>
      </c>
      <c r="L527" s="3">
        <v>1</v>
      </c>
      <c r="M527">
        <v>1</v>
      </c>
      <c r="N527">
        <v>2</v>
      </c>
      <c r="O527">
        <v>1</v>
      </c>
      <c r="P527" s="3">
        <v>1</v>
      </c>
      <c r="Q527" s="3">
        <v>6</v>
      </c>
      <c r="R527" s="3">
        <v>46883</v>
      </c>
    </row>
    <row r="528" spans="1:18" x14ac:dyDescent="0.25">
      <c r="A528" s="1">
        <v>60000524</v>
      </c>
      <c r="B528" s="3">
        <v>47</v>
      </c>
      <c r="C528" s="3">
        <v>2</v>
      </c>
      <c r="D528" s="3">
        <v>1</v>
      </c>
      <c r="E528" s="3">
        <v>8</v>
      </c>
      <c r="F528">
        <v>2</v>
      </c>
      <c r="G528" s="3">
        <v>22</v>
      </c>
      <c r="H528" s="3">
        <v>3</v>
      </c>
      <c r="I528" s="3">
        <v>2</v>
      </c>
      <c r="J528" s="3">
        <v>2</v>
      </c>
      <c r="K528" s="3">
        <v>41</v>
      </c>
      <c r="L528" s="3">
        <v>3</v>
      </c>
      <c r="M528">
        <v>2</v>
      </c>
      <c r="N528">
        <v>2</v>
      </c>
      <c r="O528">
        <v>1</v>
      </c>
      <c r="P528" s="3">
        <v>2</v>
      </c>
      <c r="Q528" s="3">
        <v>0</v>
      </c>
      <c r="R528" s="3">
        <v>35596</v>
      </c>
    </row>
    <row r="529" spans="1:18" x14ac:dyDescent="0.25">
      <c r="A529" s="1">
        <v>60000525</v>
      </c>
      <c r="B529" s="3">
        <v>28</v>
      </c>
      <c r="C529" s="3">
        <v>2</v>
      </c>
      <c r="D529" s="3">
        <v>2</v>
      </c>
      <c r="E529" s="3">
        <v>2</v>
      </c>
      <c r="F529">
        <v>2</v>
      </c>
      <c r="G529" s="3">
        <v>37</v>
      </c>
      <c r="H529" s="3">
        <v>5</v>
      </c>
      <c r="I529" s="3">
        <v>15</v>
      </c>
      <c r="J529" s="3">
        <v>7</v>
      </c>
      <c r="K529" s="3">
        <v>19</v>
      </c>
      <c r="L529" s="3">
        <v>1</v>
      </c>
      <c r="M529">
        <v>2</v>
      </c>
      <c r="N529">
        <v>2</v>
      </c>
      <c r="O529">
        <v>1</v>
      </c>
      <c r="P529" s="3">
        <v>1</v>
      </c>
      <c r="Q529" s="3">
        <v>4</v>
      </c>
      <c r="R529" s="3">
        <v>47797</v>
      </c>
    </row>
    <row r="530" spans="1:18" x14ac:dyDescent="0.25">
      <c r="A530" s="1">
        <v>60000526</v>
      </c>
      <c r="B530" s="3">
        <v>49</v>
      </c>
      <c r="C530" s="3">
        <v>1</v>
      </c>
      <c r="D530" s="3">
        <v>2</v>
      </c>
      <c r="E530" s="3">
        <v>2</v>
      </c>
      <c r="F530">
        <v>2</v>
      </c>
      <c r="G530" s="3">
        <v>13</v>
      </c>
      <c r="H530" s="3">
        <v>2</v>
      </c>
      <c r="I530" s="3">
        <v>10</v>
      </c>
      <c r="J530" s="3">
        <v>6</v>
      </c>
      <c r="K530" s="3">
        <v>29</v>
      </c>
      <c r="L530" s="3">
        <v>2</v>
      </c>
      <c r="M530">
        <v>2</v>
      </c>
      <c r="N530">
        <v>1</v>
      </c>
      <c r="O530">
        <v>2</v>
      </c>
      <c r="P530" s="3">
        <v>1</v>
      </c>
      <c r="Q530" s="3">
        <v>7</v>
      </c>
      <c r="R530" s="3">
        <v>84205</v>
      </c>
    </row>
    <row r="531" spans="1:18" x14ac:dyDescent="0.25">
      <c r="A531" s="1">
        <v>60000527</v>
      </c>
      <c r="B531" s="3">
        <v>27</v>
      </c>
      <c r="C531" s="3">
        <v>2</v>
      </c>
      <c r="D531" s="3">
        <v>2</v>
      </c>
      <c r="E531" s="3">
        <v>6</v>
      </c>
      <c r="F531">
        <v>2</v>
      </c>
      <c r="G531" s="3">
        <v>31</v>
      </c>
      <c r="H531" s="3">
        <v>4</v>
      </c>
      <c r="I531" s="3">
        <v>13</v>
      </c>
      <c r="J531" s="3">
        <v>4</v>
      </c>
      <c r="K531" s="3">
        <v>24</v>
      </c>
      <c r="L531" s="3">
        <v>3</v>
      </c>
      <c r="M531">
        <v>2</v>
      </c>
      <c r="N531">
        <v>1</v>
      </c>
      <c r="O531">
        <v>1</v>
      </c>
      <c r="P531" s="3">
        <v>2</v>
      </c>
      <c r="Q531" s="3">
        <v>0</v>
      </c>
      <c r="R531" s="3">
        <v>40117</v>
      </c>
    </row>
    <row r="532" spans="1:18" x14ac:dyDescent="0.25">
      <c r="A532" s="1">
        <v>60000528</v>
      </c>
      <c r="B532" s="3">
        <v>55</v>
      </c>
      <c r="C532" s="3">
        <v>1</v>
      </c>
      <c r="D532" s="3">
        <v>1</v>
      </c>
      <c r="E532" s="3">
        <v>10</v>
      </c>
      <c r="F532">
        <v>2</v>
      </c>
      <c r="G532" s="3">
        <v>24</v>
      </c>
      <c r="H532" s="3">
        <v>3</v>
      </c>
      <c r="I532" s="3">
        <v>10</v>
      </c>
      <c r="J532" s="3">
        <v>6</v>
      </c>
      <c r="K532" s="3">
        <v>50</v>
      </c>
      <c r="L532" s="3">
        <v>2</v>
      </c>
      <c r="M532">
        <v>1</v>
      </c>
      <c r="N532">
        <v>2</v>
      </c>
      <c r="O532">
        <v>2</v>
      </c>
      <c r="P532" s="3">
        <v>2</v>
      </c>
      <c r="Q532" s="3">
        <v>0</v>
      </c>
      <c r="R532" s="3">
        <v>41802</v>
      </c>
    </row>
    <row r="533" spans="1:18" x14ac:dyDescent="0.25">
      <c r="A533" s="1">
        <v>60000529</v>
      </c>
      <c r="B533" s="3">
        <v>27</v>
      </c>
      <c r="C533" s="3">
        <v>1</v>
      </c>
      <c r="D533" s="3">
        <v>1</v>
      </c>
      <c r="E533" s="3">
        <v>7</v>
      </c>
      <c r="F533">
        <v>2</v>
      </c>
      <c r="G533" s="3">
        <v>34</v>
      </c>
      <c r="H533" s="3">
        <v>5</v>
      </c>
      <c r="I533" s="3">
        <v>17</v>
      </c>
      <c r="J533" s="3">
        <v>4</v>
      </c>
      <c r="K533" s="3">
        <v>36</v>
      </c>
      <c r="L533" s="3">
        <v>1</v>
      </c>
      <c r="M533">
        <v>2</v>
      </c>
      <c r="N533">
        <v>1</v>
      </c>
      <c r="O533">
        <v>1</v>
      </c>
      <c r="P533" s="3">
        <v>2</v>
      </c>
      <c r="Q533" s="3">
        <v>0</v>
      </c>
      <c r="R533" s="3">
        <v>69085</v>
      </c>
    </row>
    <row r="534" spans="1:18" x14ac:dyDescent="0.25">
      <c r="A534" s="1">
        <v>60000530</v>
      </c>
      <c r="B534" s="3">
        <v>27</v>
      </c>
      <c r="C534" s="3">
        <v>1</v>
      </c>
      <c r="D534" s="3">
        <v>2</v>
      </c>
      <c r="E534" s="3">
        <v>3</v>
      </c>
      <c r="F534">
        <v>2</v>
      </c>
      <c r="G534" s="3">
        <v>38</v>
      </c>
      <c r="H534" s="3">
        <v>5</v>
      </c>
      <c r="I534" s="3">
        <v>13</v>
      </c>
      <c r="J534" s="3">
        <v>2</v>
      </c>
      <c r="K534" s="3">
        <v>37</v>
      </c>
      <c r="L534" s="3">
        <v>2</v>
      </c>
      <c r="M534">
        <v>1</v>
      </c>
      <c r="N534">
        <v>1</v>
      </c>
      <c r="O534">
        <v>1</v>
      </c>
      <c r="P534" s="3">
        <v>1</v>
      </c>
      <c r="Q534" s="3">
        <v>6</v>
      </c>
      <c r="R534" s="3">
        <v>51061</v>
      </c>
    </row>
    <row r="535" spans="1:18" x14ac:dyDescent="0.25">
      <c r="A535" s="1">
        <v>60000531</v>
      </c>
      <c r="B535" s="3">
        <v>27</v>
      </c>
      <c r="C535" s="3">
        <v>1</v>
      </c>
      <c r="D535" s="3">
        <v>2</v>
      </c>
      <c r="E535" s="3">
        <v>7</v>
      </c>
      <c r="F535">
        <v>2</v>
      </c>
      <c r="G535" s="3">
        <v>14</v>
      </c>
      <c r="H535" s="3">
        <v>2</v>
      </c>
      <c r="I535" s="3">
        <v>8</v>
      </c>
      <c r="J535" s="3">
        <v>6</v>
      </c>
      <c r="K535" s="3">
        <v>25</v>
      </c>
      <c r="L535" s="3">
        <v>1</v>
      </c>
      <c r="M535">
        <v>1</v>
      </c>
      <c r="N535">
        <v>2</v>
      </c>
      <c r="O535">
        <v>2</v>
      </c>
      <c r="P535" s="3">
        <v>1</v>
      </c>
      <c r="Q535" s="3">
        <v>2</v>
      </c>
      <c r="R535" s="3">
        <v>83923</v>
      </c>
    </row>
    <row r="536" spans="1:18" x14ac:dyDescent="0.25">
      <c r="A536" s="1">
        <v>60000532</v>
      </c>
      <c r="B536" s="3">
        <v>20</v>
      </c>
      <c r="C536" s="3">
        <v>2</v>
      </c>
      <c r="D536" s="3">
        <v>1</v>
      </c>
      <c r="E536" s="3">
        <v>10</v>
      </c>
      <c r="F536">
        <v>1</v>
      </c>
      <c r="G536" s="3">
        <v>35</v>
      </c>
      <c r="H536" s="3">
        <v>5</v>
      </c>
      <c r="I536" s="3">
        <v>7</v>
      </c>
      <c r="J536" s="3">
        <v>7</v>
      </c>
      <c r="K536" s="3">
        <v>24</v>
      </c>
      <c r="L536" s="3">
        <v>2</v>
      </c>
      <c r="M536">
        <v>1</v>
      </c>
      <c r="N536">
        <v>1</v>
      </c>
      <c r="O536">
        <v>1</v>
      </c>
      <c r="P536" s="3">
        <v>2</v>
      </c>
      <c r="Q536" s="3">
        <v>0</v>
      </c>
      <c r="R536" s="3">
        <v>58922</v>
      </c>
    </row>
    <row r="537" spans="1:18" x14ac:dyDescent="0.25">
      <c r="A537" s="1">
        <v>60000533</v>
      </c>
      <c r="B537" s="3">
        <v>26</v>
      </c>
      <c r="C537" s="3">
        <v>2</v>
      </c>
      <c r="D537" s="3">
        <v>2</v>
      </c>
      <c r="E537" s="3">
        <v>2</v>
      </c>
      <c r="F537">
        <v>1</v>
      </c>
      <c r="G537" s="3">
        <v>24</v>
      </c>
      <c r="H537" s="3">
        <v>3</v>
      </c>
      <c r="I537" s="3">
        <v>5</v>
      </c>
      <c r="J537" s="3">
        <v>5</v>
      </c>
      <c r="K537" s="3">
        <v>26</v>
      </c>
      <c r="L537" s="3">
        <v>1</v>
      </c>
      <c r="M537">
        <v>2</v>
      </c>
      <c r="N537">
        <v>2</v>
      </c>
      <c r="O537">
        <v>2</v>
      </c>
      <c r="P537" s="3">
        <v>2</v>
      </c>
      <c r="Q537" s="3">
        <v>0</v>
      </c>
      <c r="R537" s="3">
        <v>51571</v>
      </c>
    </row>
    <row r="538" spans="1:18" x14ac:dyDescent="0.25">
      <c r="A538" s="1">
        <v>60000534</v>
      </c>
      <c r="B538" s="3">
        <v>51</v>
      </c>
      <c r="C538" s="3">
        <v>1</v>
      </c>
      <c r="D538" s="3">
        <v>1</v>
      </c>
      <c r="E538" s="3">
        <v>10</v>
      </c>
      <c r="F538">
        <v>2</v>
      </c>
      <c r="G538" s="3">
        <v>25</v>
      </c>
      <c r="H538" s="3">
        <v>4</v>
      </c>
      <c r="I538" s="3">
        <v>7</v>
      </c>
      <c r="J538" s="3">
        <v>1</v>
      </c>
      <c r="K538" s="3">
        <v>45</v>
      </c>
      <c r="L538" s="3">
        <v>3</v>
      </c>
      <c r="M538">
        <v>2</v>
      </c>
      <c r="N538">
        <v>2</v>
      </c>
      <c r="O538">
        <v>1</v>
      </c>
      <c r="P538" s="3">
        <v>1</v>
      </c>
      <c r="Q538" s="3">
        <v>5</v>
      </c>
      <c r="R538" s="3">
        <v>71370</v>
      </c>
    </row>
    <row r="539" spans="1:18" x14ac:dyDescent="0.25">
      <c r="A539" s="1">
        <v>60000535</v>
      </c>
      <c r="B539" s="3">
        <v>45</v>
      </c>
      <c r="C539" s="3">
        <v>1</v>
      </c>
      <c r="D539" s="3">
        <v>1</v>
      </c>
      <c r="E539" s="3">
        <v>3</v>
      </c>
      <c r="F539">
        <v>2</v>
      </c>
      <c r="G539" s="3">
        <v>15</v>
      </c>
      <c r="H539" s="3">
        <v>2</v>
      </c>
      <c r="I539" s="3">
        <v>6</v>
      </c>
      <c r="J539" s="3">
        <v>6</v>
      </c>
      <c r="K539" s="3">
        <v>10</v>
      </c>
      <c r="L539" s="3">
        <v>2</v>
      </c>
      <c r="M539">
        <v>1</v>
      </c>
      <c r="N539">
        <v>2</v>
      </c>
      <c r="O539">
        <v>2</v>
      </c>
      <c r="P539" s="3">
        <v>2</v>
      </c>
      <c r="Q539" s="3">
        <v>0</v>
      </c>
      <c r="R539" s="3">
        <v>82397</v>
      </c>
    </row>
    <row r="540" spans="1:18" x14ac:dyDescent="0.25">
      <c r="A540" s="1">
        <v>60000536</v>
      </c>
      <c r="B540" s="3">
        <v>25</v>
      </c>
      <c r="C540" s="3">
        <v>2</v>
      </c>
      <c r="D540" s="3">
        <v>2</v>
      </c>
      <c r="E540" s="3">
        <v>4</v>
      </c>
      <c r="F540">
        <v>3</v>
      </c>
      <c r="G540" s="3">
        <v>23</v>
      </c>
      <c r="H540" s="3">
        <v>3</v>
      </c>
      <c r="I540" s="3">
        <v>7</v>
      </c>
      <c r="J540" s="3">
        <v>8</v>
      </c>
      <c r="K540" s="3">
        <v>48</v>
      </c>
      <c r="L540" s="3">
        <v>1</v>
      </c>
      <c r="M540">
        <v>1</v>
      </c>
      <c r="N540">
        <v>1</v>
      </c>
      <c r="O540">
        <v>1</v>
      </c>
      <c r="P540" s="3">
        <v>1</v>
      </c>
      <c r="Q540" s="3">
        <v>1</v>
      </c>
      <c r="R540" s="3">
        <v>27825</v>
      </c>
    </row>
    <row r="541" spans="1:18" x14ac:dyDescent="0.25">
      <c r="A541" s="1">
        <v>60000537</v>
      </c>
      <c r="B541" s="3">
        <v>29</v>
      </c>
      <c r="C541" s="3">
        <v>2</v>
      </c>
      <c r="D541" s="3">
        <v>1</v>
      </c>
      <c r="E541" s="3">
        <v>1</v>
      </c>
      <c r="F541">
        <v>1</v>
      </c>
      <c r="G541" s="3">
        <v>24</v>
      </c>
      <c r="H541" s="3">
        <v>3</v>
      </c>
      <c r="I541" s="3">
        <v>5</v>
      </c>
      <c r="J541" s="3">
        <v>1</v>
      </c>
      <c r="K541" s="3">
        <v>9</v>
      </c>
      <c r="L541" s="3">
        <v>2</v>
      </c>
      <c r="M541">
        <v>1</v>
      </c>
      <c r="N541">
        <v>1</v>
      </c>
      <c r="O541">
        <v>1</v>
      </c>
      <c r="P541" s="3">
        <v>2</v>
      </c>
      <c r="Q541" s="3">
        <v>0</v>
      </c>
      <c r="R541" s="3">
        <v>58041</v>
      </c>
    </row>
    <row r="542" spans="1:18" x14ac:dyDescent="0.25">
      <c r="A542" s="1">
        <v>60000538</v>
      </c>
      <c r="B542" s="3">
        <v>40</v>
      </c>
      <c r="C542" s="3">
        <v>2</v>
      </c>
      <c r="D542" s="3">
        <v>1</v>
      </c>
      <c r="E542" s="3">
        <v>12</v>
      </c>
      <c r="F542">
        <v>2</v>
      </c>
      <c r="G542" s="3">
        <v>12</v>
      </c>
      <c r="H542" s="3">
        <v>2</v>
      </c>
      <c r="I542" s="3">
        <v>12</v>
      </c>
      <c r="J542" s="3">
        <v>5</v>
      </c>
      <c r="K542" s="3">
        <v>21</v>
      </c>
      <c r="L542" s="3">
        <v>1</v>
      </c>
      <c r="M542">
        <v>2</v>
      </c>
      <c r="N542">
        <v>2</v>
      </c>
      <c r="O542">
        <v>1</v>
      </c>
      <c r="P542" s="3">
        <v>1</v>
      </c>
      <c r="Q542" s="3">
        <v>6</v>
      </c>
      <c r="R542" s="3">
        <v>80139</v>
      </c>
    </row>
    <row r="543" spans="1:18" x14ac:dyDescent="0.25">
      <c r="A543" s="1">
        <v>60000539</v>
      </c>
      <c r="B543" s="3">
        <v>53</v>
      </c>
      <c r="C543" s="3">
        <v>2</v>
      </c>
      <c r="D543" s="3">
        <v>2</v>
      </c>
      <c r="E543" s="3">
        <v>6</v>
      </c>
      <c r="F543">
        <v>1</v>
      </c>
      <c r="G543" s="3">
        <v>14</v>
      </c>
      <c r="H543" s="3">
        <v>2</v>
      </c>
      <c r="I543" s="3">
        <v>13</v>
      </c>
      <c r="J543" s="3">
        <v>1</v>
      </c>
      <c r="K543" s="3">
        <v>30</v>
      </c>
      <c r="L543" s="3">
        <v>3</v>
      </c>
      <c r="M543">
        <v>1</v>
      </c>
      <c r="N543">
        <v>2</v>
      </c>
      <c r="O543">
        <v>2</v>
      </c>
      <c r="P543" s="3">
        <v>1</v>
      </c>
      <c r="Q543" s="3">
        <v>2</v>
      </c>
      <c r="R543" s="3">
        <v>70328</v>
      </c>
    </row>
    <row r="544" spans="1:18" x14ac:dyDescent="0.25">
      <c r="A544" s="1">
        <v>60000540</v>
      </c>
      <c r="B544" s="3">
        <v>50</v>
      </c>
      <c r="C544" s="3">
        <v>2</v>
      </c>
      <c r="D544" s="3">
        <v>2</v>
      </c>
      <c r="E544" s="3">
        <v>10</v>
      </c>
      <c r="F544">
        <v>3</v>
      </c>
      <c r="G544" s="3">
        <v>20</v>
      </c>
      <c r="H544" s="3">
        <v>3</v>
      </c>
      <c r="I544" s="3">
        <v>12</v>
      </c>
      <c r="J544" s="3">
        <v>12</v>
      </c>
      <c r="K544" s="3">
        <v>47</v>
      </c>
      <c r="L544" s="3">
        <v>1</v>
      </c>
      <c r="M544">
        <v>2</v>
      </c>
      <c r="N544">
        <v>1</v>
      </c>
      <c r="O544">
        <v>1</v>
      </c>
      <c r="P544" s="3">
        <v>2</v>
      </c>
      <c r="Q544" s="3">
        <v>0</v>
      </c>
      <c r="R544" s="3">
        <v>39091</v>
      </c>
    </row>
    <row r="545" spans="1:18" x14ac:dyDescent="0.25">
      <c r="A545" s="1">
        <v>60000541</v>
      </c>
      <c r="B545" s="3">
        <v>21</v>
      </c>
      <c r="C545" s="3">
        <v>1</v>
      </c>
      <c r="D545" s="3">
        <v>1</v>
      </c>
      <c r="E545" s="3">
        <v>8</v>
      </c>
      <c r="F545">
        <v>2</v>
      </c>
      <c r="G545" s="3">
        <v>31</v>
      </c>
      <c r="H545" s="3">
        <v>4</v>
      </c>
      <c r="I545" s="3">
        <v>3</v>
      </c>
      <c r="J545" s="3">
        <v>5</v>
      </c>
      <c r="K545" s="3">
        <v>39</v>
      </c>
      <c r="L545" s="3">
        <v>3</v>
      </c>
      <c r="M545">
        <v>1</v>
      </c>
      <c r="N545">
        <v>1</v>
      </c>
      <c r="O545">
        <v>2</v>
      </c>
      <c r="P545" s="3">
        <v>2</v>
      </c>
      <c r="Q545" s="3">
        <v>0</v>
      </c>
      <c r="R545" s="3">
        <v>57443</v>
      </c>
    </row>
    <row r="546" spans="1:18" x14ac:dyDescent="0.25">
      <c r="A546" s="1">
        <v>60000542</v>
      </c>
      <c r="B546" s="3">
        <v>52</v>
      </c>
      <c r="C546" s="3">
        <v>1</v>
      </c>
      <c r="D546" s="3">
        <v>2</v>
      </c>
      <c r="E546" s="3">
        <v>6</v>
      </c>
      <c r="F546">
        <v>2</v>
      </c>
      <c r="G546" s="3">
        <v>37</v>
      </c>
      <c r="H546" s="3">
        <v>5</v>
      </c>
      <c r="I546" s="3">
        <v>5</v>
      </c>
      <c r="J546" s="3">
        <v>5</v>
      </c>
      <c r="K546" s="3">
        <v>34</v>
      </c>
      <c r="L546" s="3">
        <v>2</v>
      </c>
      <c r="M546">
        <v>1</v>
      </c>
      <c r="N546">
        <v>1</v>
      </c>
      <c r="O546">
        <v>1</v>
      </c>
      <c r="P546" s="3">
        <v>2</v>
      </c>
      <c r="Q546" s="3">
        <v>0</v>
      </c>
      <c r="R546" s="3">
        <v>37654</v>
      </c>
    </row>
    <row r="547" spans="1:18" x14ac:dyDescent="0.25">
      <c r="A547" s="1">
        <v>60000543</v>
      </c>
      <c r="B547" s="3">
        <v>56</v>
      </c>
      <c r="C547" s="3">
        <v>1</v>
      </c>
      <c r="D547" s="3">
        <v>2</v>
      </c>
      <c r="E547" s="3">
        <v>5</v>
      </c>
      <c r="F547">
        <v>2</v>
      </c>
      <c r="G547" s="3">
        <v>31</v>
      </c>
      <c r="H547" s="3">
        <v>4</v>
      </c>
      <c r="I547" s="3">
        <v>15</v>
      </c>
      <c r="J547" s="3">
        <v>13</v>
      </c>
      <c r="K547" s="3">
        <v>23</v>
      </c>
      <c r="L547" s="3">
        <v>2</v>
      </c>
      <c r="M547">
        <v>2</v>
      </c>
      <c r="N547">
        <v>2</v>
      </c>
      <c r="O547">
        <v>2</v>
      </c>
      <c r="P547" s="3">
        <v>2</v>
      </c>
      <c r="Q547" s="3">
        <v>0</v>
      </c>
      <c r="R547" s="3">
        <v>76747</v>
      </c>
    </row>
    <row r="548" spans="1:18" x14ac:dyDescent="0.25">
      <c r="A548" s="1">
        <v>60000544</v>
      </c>
      <c r="B548" s="3">
        <v>57</v>
      </c>
      <c r="C548" s="3">
        <v>2</v>
      </c>
      <c r="D548" s="3">
        <v>1</v>
      </c>
      <c r="E548" s="3">
        <v>10</v>
      </c>
      <c r="F548">
        <v>2</v>
      </c>
      <c r="G548" s="3">
        <v>22</v>
      </c>
      <c r="H548" s="3">
        <v>3</v>
      </c>
      <c r="I548" s="3">
        <v>8</v>
      </c>
      <c r="J548" s="3">
        <v>3</v>
      </c>
      <c r="K548" s="3">
        <v>43</v>
      </c>
      <c r="L548" s="3">
        <v>3</v>
      </c>
      <c r="M548">
        <v>2</v>
      </c>
      <c r="N548">
        <v>2</v>
      </c>
      <c r="O548">
        <v>1</v>
      </c>
      <c r="P548" s="3">
        <v>1</v>
      </c>
      <c r="Q548" s="3">
        <v>7</v>
      </c>
      <c r="R548" s="3">
        <v>79615</v>
      </c>
    </row>
    <row r="549" spans="1:18" x14ac:dyDescent="0.25">
      <c r="A549" s="1">
        <v>60000545</v>
      </c>
      <c r="B549" s="3">
        <v>36</v>
      </c>
      <c r="C549" s="3">
        <v>1</v>
      </c>
      <c r="D549" s="3">
        <v>2</v>
      </c>
      <c r="E549" s="3">
        <v>9</v>
      </c>
      <c r="F549">
        <v>1</v>
      </c>
      <c r="G549" s="3">
        <v>18</v>
      </c>
      <c r="H549" s="3">
        <v>2</v>
      </c>
      <c r="I549" s="3">
        <v>7</v>
      </c>
      <c r="J549" s="3">
        <v>3</v>
      </c>
      <c r="K549" s="3">
        <v>29</v>
      </c>
      <c r="L549" s="3">
        <v>2</v>
      </c>
      <c r="M549">
        <v>1</v>
      </c>
      <c r="N549">
        <v>2</v>
      </c>
      <c r="O549">
        <v>2</v>
      </c>
      <c r="P549" s="3">
        <v>1</v>
      </c>
      <c r="Q549" s="3">
        <v>0</v>
      </c>
      <c r="R549" s="3">
        <v>51669</v>
      </c>
    </row>
    <row r="550" spans="1:18" x14ac:dyDescent="0.25">
      <c r="A550" s="1">
        <v>60000546</v>
      </c>
      <c r="B550" s="3">
        <v>61</v>
      </c>
      <c r="C550" s="3">
        <v>2</v>
      </c>
      <c r="D550" s="3">
        <v>2</v>
      </c>
      <c r="E550" s="3">
        <v>5</v>
      </c>
      <c r="F550">
        <v>3</v>
      </c>
      <c r="G550" s="3">
        <v>21</v>
      </c>
      <c r="H550" s="3">
        <v>3</v>
      </c>
      <c r="I550" s="3">
        <v>3</v>
      </c>
      <c r="J550" s="3">
        <v>8</v>
      </c>
      <c r="K550" s="3">
        <v>40</v>
      </c>
      <c r="L550" s="3">
        <v>1</v>
      </c>
      <c r="M550">
        <v>1</v>
      </c>
      <c r="N550">
        <v>2</v>
      </c>
      <c r="O550">
        <v>2</v>
      </c>
      <c r="P550" s="3">
        <v>2</v>
      </c>
      <c r="Q550" s="3">
        <v>0</v>
      </c>
      <c r="R550" s="3">
        <v>45235</v>
      </c>
    </row>
    <row r="551" spans="1:18" x14ac:dyDescent="0.25">
      <c r="A551" s="1">
        <v>60000547</v>
      </c>
      <c r="B551" s="3">
        <v>64</v>
      </c>
      <c r="C551" s="3">
        <v>2</v>
      </c>
      <c r="D551" s="3">
        <v>1</v>
      </c>
      <c r="E551" s="3">
        <v>2</v>
      </c>
      <c r="F551">
        <v>3</v>
      </c>
      <c r="G551" s="3">
        <v>33</v>
      </c>
      <c r="H551" s="3">
        <v>5</v>
      </c>
      <c r="I551" s="3">
        <v>15</v>
      </c>
      <c r="J551" s="3">
        <v>8</v>
      </c>
      <c r="K551" s="3">
        <v>30</v>
      </c>
      <c r="L551" s="3">
        <v>3</v>
      </c>
      <c r="M551">
        <v>1</v>
      </c>
      <c r="N551">
        <v>1</v>
      </c>
      <c r="O551">
        <v>1</v>
      </c>
      <c r="P551" s="3">
        <v>2</v>
      </c>
      <c r="Q551" s="3">
        <v>0</v>
      </c>
      <c r="R551" s="3">
        <v>69731</v>
      </c>
    </row>
    <row r="552" spans="1:18" x14ac:dyDescent="0.25">
      <c r="A552" s="1">
        <v>60000548</v>
      </c>
      <c r="B552" s="3">
        <v>51</v>
      </c>
      <c r="C552" s="3">
        <v>2</v>
      </c>
      <c r="D552" s="3">
        <v>1</v>
      </c>
      <c r="E552" s="3">
        <v>5</v>
      </c>
      <c r="F552">
        <v>2</v>
      </c>
      <c r="G552" s="3">
        <v>17</v>
      </c>
      <c r="H552" s="3">
        <v>2</v>
      </c>
      <c r="I552" s="3">
        <v>7</v>
      </c>
      <c r="J552" s="3">
        <v>5</v>
      </c>
      <c r="K552" s="3">
        <v>37</v>
      </c>
      <c r="L552" s="3">
        <v>2</v>
      </c>
      <c r="M552">
        <v>2</v>
      </c>
      <c r="N552">
        <v>1</v>
      </c>
      <c r="O552">
        <v>1</v>
      </c>
      <c r="P552" s="3">
        <v>2</v>
      </c>
      <c r="Q552" s="3">
        <v>0</v>
      </c>
      <c r="R552" s="3">
        <v>40946</v>
      </c>
    </row>
    <row r="553" spans="1:18" x14ac:dyDescent="0.25">
      <c r="A553" s="1">
        <v>60000549</v>
      </c>
      <c r="B553" s="3">
        <v>54</v>
      </c>
      <c r="C553" s="3">
        <v>1</v>
      </c>
      <c r="D553" s="3">
        <v>1</v>
      </c>
      <c r="E553" s="3">
        <v>1</v>
      </c>
      <c r="F553">
        <v>1</v>
      </c>
      <c r="G553" s="3">
        <v>33</v>
      </c>
      <c r="H553" s="3">
        <v>5</v>
      </c>
      <c r="I553" s="3">
        <v>5</v>
      </c>
      <c r="J553" s="3">
        <v>1</v>
      </c>
      <c r="K553" s="3">
        <v>27</v>
      </c>
      <c r="L553" s="3">
        <v>3</v>
      </c>
      <c r="M553">
        <v>1</v>
      </c>
      <c r="N553">
        <v>1</v>
      </c>
      <c r="O553">
        <v>1</v>
      </c>
      <c r="P553" s="3">
        <v>2</v>
      </c>
      <c r="Q553" s="3">
        <v>0</v>
      </c>
      <c r="R553" s="3">
        <v>69945</v>
      </c>
    </row>
    <row r="554" spans="1:18" x14ac:dyDescent="0.25">
      <c r="A554" s="1">
        <v>60000550</v>
      </c>
      <c r="B554" s="3">
        <v>23</v>
      </c>
      <c r="C554" s="3">
        <v>1</v>
      </c>
      <c r="D554" s="3">
        <v>2</v>
      </c>
      <c r="E554" s="3">
        <v>2</v>
      </c>
      <c r="F554">
        <v>1</v>
      </c>
      <c r="G554" s="3">
        <v>33</v>
      </c>
      <c r="H554" s="3">
        <v>5</v>
      </c>
      <c r="I554" s="3">
        <v>11</v>
      </c>
      <c r="J554" s="3">
        <v>6</v>
      </c>
      <c r="K554" s="3">
        <v>24</v>
      </c>
      <c r="L554" s="3">
        <v>1</v>
      </c>
      <c r="M554">
        <v>2</v>
      </c>
      <c r="N554">
        <v>1</v>
      </c>
      <c r="O554">
        <v>1</v>
      </c>
      <c r="P554" s="3">
        <v>2</v>
      </c>
      <c r="Q554" s="3">
        <v>0</v>
      </c>
      <c r="R554" s="3">
        <v>67008</v>
      </c>
    </row>
    <row r="555" spans="1:18" x14ac:dyDescent="0.25">
      <c r="A555" s="1">
        <v>60000551</v>
      </c>
      <c r="B555" s="3">
        <v>21</v>
      </c>
      <c r="C555" s="3">
        <v>2</v>
      </c>
      <c r="D555" s="3">
        <v>1</v>
      </c>
      <c r="E555" s="3">
        <v>2</v>
      </c>
      <c r="F555">
        <v>3</v>
      </c>
      <c r="G555" s="3">
        <v>21</v>
      </c>
      <c r="H555" s="3">
        <v>3</v>
      </c>
      <c r="I555" s="3">
        <v>3</v>
      </c>
      <c r="J555" s="3">
        <v>8</v>
      </c>
      <c r="K555" s="3">
        <v>32</v>
      </c>
      <c r="L555" s="3">
        <v>1</v>
      </c>
      <c r="M555">
        <v>1</v>
      </c>
      <c r="N555">
        <v>1</v>
      </c>
      <c r="O555">
        <v>1</v>
      </c>
      <c r="P555" s="3">
        <v>1</v>
      </c>
      <c r="Q555" s="3">
        <v>4</v>
      </c>
      <c r="R555" s="3">
        <v>56667</v>
      </c>
    </row>
    <row r="556" spans="1:18" x14ac:dyDescent="0.25">
      <c r="A556" s="1">
        <v>60000552</v>
      </c>
      <c r="B556" s="3">
        <v>61</v>
      </c>
      <c r="C556" s="3">
        <v>1</v>
      </c>
      <c r="D556" s="3">
        <v>2</v>
      </c>
      <c r="E556" s="3">
        <v>2</v>
      </c>
      <c r="F556">
        <v>3</v>
      </c>
      <c r="G556" s="3">
        <v>28</v>
      </c>
      <c r="H556" s="3">
        <v>4</v>
      </c>
      <c r="I556" s="3">
        <v>10</v>
      </c>
      <c r="J556" s="3">
        <v>5</v>
      </c>
      <c r="K556" s="3">
        <v>49</v>
      </c>
      <c r="L556" s="3">
        <v>3</v>
      </c>
      <c r="M556">
        <v>2</v>
      </c>
      <c r="N556">
        <v>1</v>
      </c>
      <c r="O556">
        <v>2</v>
      </c>
      <c r="P556" s="3">
        <v>2</v>
      </c>
      <c r="Q556" s="3">
        <v>0</v>
      </c>
      <c r="R556" s="3">
        <v>32042</v>
      </c>
    </row>
    <row r="557" spans="1:18" x14ac:dyDescent="0.25">
      <c r="A557" s="1">
        <v>60000553</v>
      </c>
      <c r="B557" s="3">
        <v>28</v>
      </c>
      <c r="C557" s="3">
        <v>2</v>
      </c>
      <c r="D557" s="3">
        <v>1</v>
      </c>
      <c r="E557" s="3">
        <v>6</v>
      </c>
      <c r="F557">
        <v>2</v>
      </c>
      <c r="G557" s="3">
        <v>35</v>
      </c>
      <c r="H557" s="3">
        <v>5</v>
      </c>
      <c r="I557" s="3">
        <v>15</v>
      </c>
      <c r="J557" s="3">
        <v>2</v>
      </c>
      <c r="K557" s="3">
        <v>33</v>
      </c>
      <c r="L557" s="3">
        <v>1</v>
      </c>
      <c r="M557">
        <v>1</v>
      </c>
      <c r="N557">
        <v>2</v>
      </c>
      <c r="O557">
        <v>2</v>
      </c>
      <c r="P557" s="3">
        <v>1</v>
      </c>
      <c r="Q557" s="3">
        <v>7</v>
      </c>
      <c r="R557" s="3">
        <v>57373</v>
      </c>
    </row>
    <row r="558" spans="1:18" x14ac:dyDescent="0.25">
      <c r="A558" s="1">
        <v>60000554</v>
      </c>
      <c r="B558" s="3">
        <v>34</v>
      </c>
      <c r="C558" s="3">
        <v>1</v>
      </c>
      <c r="D558" s="3">
        <v>1</v>
      </c>
      <c r="E558" s="3">
        <v>6</v>
      </c>
      <c r="F558">
        <v>2</v>
      </c>
      <c r="G558" s="3">
        <v>11</v>
      </c>
      <c r="H558" s="3">
        <v>1</v>
      </c>
      <c r="I558" s="3">
        <v>7</v>
      </c>
      <c r="J558" s="3">
        <v>11</v>
      </c>
      <c r="K558" s="3">
        <v>43</v>
      </c>
      <c r="L558" s="3">
        <v>3</v>
      </c>
      <c r="M558">
        <v>1</v>
      </c>
      <c r="N558">
        <v>1</v>
      </c>
      <c r="O558">
        <v>1</v>
      </c>
      <c r="P558" s="3">
        <v>2</v>
      </c>
      <c r="Q558" s="3">
        <v>0</v>
      </c>
      <c r="R558" s="3">
        <v>34399</v>
      </c>
    </row>
    <row r="559" spans="1:18" x14ac:dyDescent="0.25">
      <c r="A559" s="1">
        <v>60000555</v>
      </c>
      <c r="B559" s="3">
        <v>29</v>
      </c>
      <c r="C559" s="3">
        <v>1</v>
      </c>
      <c r="D559" s="3">
        <v>2</v>
      </c>
      <c r="E559" s="3">
        <v>3</v>
      </c>
      <c r="F559">
        <v>1</v>
      </c>
      <c r="G559" s="3">
        <v>38</v>
      </c>
      <c r="H559" s="3">
        <v>5</v>
      </c>
      <c r="I559" s="3">
        <v>16</v>
      </c>
      <c r="J559" s="3">
        <v>3</v>
      </c>
      <c r="K559" s="3">
        <v>50</v>
      </c>
      <c r="L559" s="3">
        <v>2</v>
      </c>
      <c r="M559">
        <v>1</v>
      </c>
      <c r="N559">
        <v>1</v>
      </c>
      <c r="O559">
        <v>1</v>
      </c>
      <c r="P559" s="3">
        <v>2</v>
      </c>
      <c r="Q559" s="3">
        <v>0</v>
      </c>
      <c r="R559" s="3">
        <v>65066</v>
      </c>
    </row>
    <row r="560" spans="1:18" x14ac:dyDescent="0.25">
      <c r="A560" s="1">
        <v>60000556</v>
      </c>
      <c r="B560" s="3">
        <v>33</v>
      </c>
      <c r="C560" s="3">
        <v>1</v>
      </c>
      <c r="D560" s="3">
        <v>2</v>
      </c>
      <c r="E560" s="3">
        <v>2</v>
      </c>
      <c r="F560">
        <v>1</v>
      </c>
      <c r="G560" s="3">
        <v>15</v>
      </c>
      <c r="H560" s="3">
        <v>2</v>
      </c>
      <c r="I560" s="3">
        <v>1</v>
      </c>
      <c r="J560" s="3">
        <v>12</v>
      </c>
      <c r="K560" s="3">
        <v>9</v>
      </c>
      <c r="L560" s="3">
        <v>2</v>
      </c>
      <c r="M560">
        <v>1</v>
      </c>
      <c r="N560">
        <v>2</v>
      </c>
      <c r="O560">
        <v>2</v>
      </c>
      <c r="P560" s="3">
        <v>2</v>
      </c>
      <c r="Q560" s="3">
        <v>0</v>
      </c>
      <c r="R560" s="3">
        <v>25621</v>
      </c>
    </row>
    <row r="561" spans="1:18" x14ac:dyDescent="0.25">
      <c r="A561" s="1">
        <v>60000557</v>
      </c>
      <c r="B561" s="3">
        <v>28</v>
      </c>
      <c r="C561" s="3">
        <v>2</v>
      </c>
      <c r="D561" s="3">
        <v>2</v>
      </c>
      <c r="E561" s="3">
        <v>6</v>
      </c>
      <c r="F561">
        <v>3</v>
      </c>
      <c r="G561" s="3">
        <v>23</v>
      </c>
      <c r="H561" s="3">
        <v>3</v>
      </c>
      <c r="I561" s="3">
        <v>11</v>
      </c>
      <c r="J561" s="3">
        <v>12</v>
      </c>
      <c r="K561" s="3">
        <v>17</v>
      </c>
      <c r="L561" s="3">
        <v>1</v>
      </c>
      <c r="M561">
        <v>2</v>
      </c>
      <c r="N561">
        <v>2</v>
      </c>
      <c r="O561">
        <v>1</v>
      </c>
      <c r="P561" s="3">
        <v>1</v>
      </c>
      <c r="Q561" s="3">
        <v>7</v>
      </c>
      <c r="R561" s="3">
        <v>81039</v>
      </c>
    </row>
    <row r="562" spans="1:18" x14ac:dyDescent="0.25">
      <c r="A562" s="1">
        <v>60000558</v>
      </c>
      <c r="B562" s="3">
        <v>23</v>
      </c>
      <c r="C562" s="3">
        <v>1</v>
      </c>
      <c r="D562" s="3">
        <v>1</v>
      </c>
      <c r="E562" s="3">
        <v>2</v>
      </c>
      <c r="F562">
        <v>3</v>
      </c>
      <c r="G562" s="3">
        <v>23</v>
      </c>
      <c r="H562" s="3">
        <v>3</v>
      </c>
      <c r="I562" s="3">
        <v>11</v>
      </c>
      <c r="J562" s="3">
        <v>13</v>
      </c>
      <c r="K562" s="3">
        <v>41</v>
      </c>
      <c r="L562" s="3">
        <v>3</v>
      </c>
      <c r="M562">
        <v>1</v>
      </c>
      <c r="N562">
        <v>2</v>
      </c>
      <c r="O562">
        <v>2</v>
      </c>
      <c r="P562" s="3">
        <v>2</v>
      </c>
      <c r="Q562" s="3">
        <v>0</v>
      </c>
      <c r="R562" s="3">
        <v>60055</v>
      </c>
    </row>
    <row r="563" spans="1:18" x14ac:dyDescent="0.25">
      <c r="A563" s="1">
        <v>60000559</v>
      </c>
      <c r="B563" s="3">
        <v>24</v>
      </c>
      <c r="C563" s="3">
        <v>1</v>
      </c>
      <c r="D563" s="3">
        <v>1</v>
      </c>
      <c r="E563" s="3">
        <v>8</v>
      </c>
      <c r="F563">
        <v>2</v>
      </c>
      <c r="G563" s="3">
        <v>31</v>
      </c>
      <c r="H563" s="3">
        <v>4</v>
      </c>
      <c r="I563" s="3">
        <v>2</v>
      </c>
      <c r="J563" s="3">
        <v>7</v>
      </c>
      <c r="K563" s="3">
        <v>31</v>
      </c>
      <c r="L563" s="3">
        <v>2</v>
      </c>
      <c r="M563">
        <v>2</v>
      </c>
      <c r="N563">
        <v>1</v>
      </c>
      <c r="O563">
        <v>1</v>
      </c>
      <c r="P563" s="3">
        <v>1</v>
      </c>
      <c r="Q563" s="3">
        <v>4</v>
      </c>
      <c r="R563" s="3">
        <v>59665</v>
      </c>
    </row>
    <row r="564" spans="1:18" x14ac:dyDescent="0.25">
      <c r="A564" s="1">
        <v>60000560</v>
      </c>
      <c r="B564" s="3">
        <v>49</v>
      </c>
      <c r="C564" s="3">
        <v>2</v>
      </c>
      <c r="D564" s="3">
        <v>2</v>
      </c>
      <c r="E564" s="3">
        <v>10</v>
      </c>
      <c r="F564">
        <v>1</v>
      </c>
      <c r="G564" s="3">
        <v>18</v>
      </c>
      <c r="H564" s="3">
        <v>2</v>
      </c>
      <c r="I564" s="3">
        <v>15</v>
      </c>
      <c r="J564" s="3">
        <v>6</v>
      </c>
      <c r="K564" s="3">
        <v>38</v>
      </c>
      <c r="L564" s="3">
        <v>3</v>
      </c>
      <c r="M564">
        <v>2</v>
      </c>
      <c r="N564">
        <v>1</v>
      </c>
      <c r="O564">
        <v>1</v>
      </c>
      <c r="P564" s="3">
        <v>1</v>
      </c>
      <c r="Q564" s="3">
        <v>2</v>
      </c>
      <c r="R564" s="3">
        <v>79766</v>
      </c>
    </row>
    <row r="565" spans="1:18" x14ac:dyDescent="0.25">
      <c r="A565" s="1">
        <v>60000561</v>
      </c>
      <c r="B565" s="3">
        <v>44</v>
      </c>
      <c r="C565" s="3">
        <v>2</v>
      </c>
      <c r="D565" s="3">
        <v>1</v>
      </c>
      <c r="E565" s="3">
        <v>11</v>
      </c>
      <c r="F565">
        <v>1</v>
      </c>
      <c r="G565" s="3">
        <v>26</v>
      </c>
      <c r="H565" s="3">
        <v>4</v>
      </c>
      <c r="I565" s="3">
        <v>6</v>
      </c>
      <c r="J565" s="3">
        <v>10</v>
      </c>
      <c r="K565" s="3">
        <v>17</v>
      </c>
      <c r="L565" s="3">
        <v>1</v>
      </c>
      <c r="M565">
        <v>1</v>
      </c>
      <c r="N565">
        <v>2</v>
      </c>
      <c r="O565">
        <v>2</v>
      </c>
      <c r="P565" s="3">
        <v>2</v>
      </c>
      <c r="Q565" s="3">
        <v>0</v>
      </c>
      <c r="R565" s="3">
        <v>72085</v>
      </c>
    </row>
    <row r="566" spans="1:18" x14ac:dyDescent="0.25">
      <c r="A566" s="1">
        <v>60000562</v>
      </c>
      <c r="B566" s="3">
        <v>48</v>
      </c>
      <c r="C566" s="3">
        <v>2</v>
      </c>
      <c r="D566" s="3">
        <v>1</v>
      </c>
      <c r="E566" s="3">
        <v>12</v>
      </c>
      <c r="F566">
        <v>2</v>
      </c>
      <c r="G566" s="3">
        <v>20</v>
      </c>
      <c r="H566" s="3">
        <v>3</v>
      </c>
      <c r="I566" s="3">
        <v>11</v>
      </c>
      <c r="J566" s="3">
        <v>5</v>
      </c>
      <c r="K566" s="3">
        <v>3</v>
      </c>
      <c r="L566" s="3">
        <v>1</v>
      </c>
      <c r="M566">
        <v>1</v>
      </c>
      <c r="N566">
        <v>2</v>
      </c>
      <c r="O566">
        <v>1</v>
      </c>
      <c r="P566" s="3">
        <v>2</v>
      </c>
      <c r="Q566" s="3">
        <v>0</v>
      </c>
      <c r="R566" s="3">
        <v>30210</v>
      </c>
    </row>
    <row r="567" spans="1:18" x14ac:dyDescent="0.25">
      <c r="A567" s="1">
        <v>60000563</v>
      </c>
      <c r="B567" s="3">
        <v>63</v>
      </c>
      <c r="C567" s="3">
        <v>2</v>
      </c>
      <c r="D567" s="3">
        <v>1</v>
      </c>
      <c r="E567" s="3">
        <v>6</v>
      </c>
      <c r="F567">
        <v>1</v>
      </c>
      <c r="G567" s="3">
        <v>34</v>
      </c>
      <c r="H567" s="3">
        <v>5</v>
      </c>
      <c r="I567" s="3">
        <v>8</v>
      </c>
      <c r="J567" s="3">
        <v>2</v>
      </c>
      <c r="K567" s="3">
        <v>12</v>
      </c>
      <c r="L567" s="3">
        <v>2</v>
      </c>
      <c r="M567">
        <v>1</v>
      </c>
      <c r="N567">
        <v>2</v>
      </c>
      <c r="O567">
        <v>2</v>
      </c>
      <c r="P567" s="3">
        <v>1</v>
      </c>
      <c r="Q567" s="3">
        <v>2</v>
      </c>
      <c r="R567" s="3">
        <v>71522</v>
      </c>
    </row>
    <row r="568" spans="1:18" x14ac:dyDescent="0.25">
      <c r="A568" s="1">
        <v>60000564</v>
      </c>
      <c r="B568" s="3">
        <v>53</v>
      </c>
      <c r="C568" s="3">
        <v>2</v>
      </c>
      <c r="D568" s="3">
        <v>1</v>
      </c>
      <c r="E568" s="3">
        <v>9</v>
      </c>
      <c r="F568">
        <v>2</v>
      </c>
      <c r="G568" s="3">
        <v>19</v>
      </c>
      <c r="H568" s="3">
        <v>3</v>
      </c>
      <c r="I568" s="3">
        <v>13</v>
      </c>
      <c r="J568" s="3">
        <v>3</v>
      </c>
      <c r="K568" s="3">
        <v>40</v>
      </c>
      <c r="L568" s="3">
        <v>3</v>
      </c>
      <c r="M568">
        <v>1</v>
      </c>
      <c r="N568">
        <v>1</v>
      </c>
      <c r="O568">
        <v>2</v>
      </c>
      <c r="P568" s="3">
        <v>2</v>
      </c>
      <c r="Q568" s="3">
        <v>0</v>
      </c>
      <c r="R568" s="3">
        <v>72112</v>
      </c>
    </row>
    <row r="569" spans="1:18" x14ac:dyDescent="0.25">
      <c r="A569" s="1">
        <v>60000565</v>
      </c>
      <c r="B569" s="3">
        <v>33</v>
      </c>
      <c r="C569" s="3">
        <v>2</v>
      </c>
      <c r="D569" s="3">
        <v>1</v>
      </c>
      <c r="E569" s="3">
        <v>1</v>
      </c>
      <c r="F569">
        <v>1</v>
      </c>
      <c r="G569" s="3">
        <v>10</v>
      </c>
      <c r="H569" s="3">
        <v>1</v>
      </c>
      <c r="I569" s="3">
        <v>12</v>
      </c>
      <c r="J569" s="3">
        <v>4</v>
      </c>
      <c r="K569" s="3">
        <v>2</v>
      </c>
      <c r="L569" s="3">
        <v>1</v>
      </c>
      <c r="M569">
        <v>1</v>
      </c>
      <c r="N569">
        <v>2</v>
      </c>
      <c r="O569">
        <v>2</v>
      </c>
      <c r="P569" s="3">
        <v>1</v>
      </c>
      <c r="Q569" s="3">
        <v>2</v>
      </c>
      <c r="R569" s="3">
        <v>23879</v>
      </c>
    </row>
    <row r="570" spans="1:18" x14ac:dyDescent="0.25">
      <c r="A570" s="1">
        <v>60000566</v>
      </c>
      <c r="B570" s="3">
        <v>59</v>
      </c>
      <c r="C570" s="3">
        <v>2</v>
      </c>
      <c r="D570" s="3">
        <v>2</v>
      </c>
      <c r="E570" s="3">
        <v>4</v>
      </c>
      <c r="F570">
        <v>1</v>
      </c>
      <c r="G570" s="3">
        <v>37</v>
      </c>
      <c r="H570" s="3">
        <v>5</v>
      </c>
      <c r="I570" s="3">
        <v>5</v>
      </c>
      <c r="J570" s="3">
        <v>5</v>
      </c>
      <c r="K570" s="3">
        <v>24</v>
      </c>
      <c r="L570" s="3">
        <v>1</v>
      </c>
      <c r="M570">
        <v>1</v>
      </c>
      <c r="N570">
        <v>1</v>
      </c>
      <c r="O570">
        <v>2</v>
      </c>
      <c r="P570" s="3">
        <v>2</v>
      </c>
      <c r="Q570" s="3">
        <v>0</v>
      </c>
      <c r="R570" s="3">
        <v>51537</v>
      </c>
    </row>
    <row r="571" spans="1:18" x14ac:dyDescent="0.25">
      <c r="A571" s="1">
        <v>60000567</v>
      </c>
      <c r="B571" s="3">
        <v>41</v>
      </c>
      <c r="C571" s="3">
        <v>1</v>
      </c>
      <c r="D571" s="3">
        <v>2</v>
      </c>
      <c r="E571" s="3">
        <v>4</v>
      </c>
      <c r="F571">
        <v>1</v>
      </c>
      <c r="G571" s="3">
        <v>36</v>
      </c>
      <c r="H571" s="3">
        <v>5</v>
      </c>
      <c r="I571" s="3">
        <v>2</v>
      </c>
      <c r="J571" s="3">
        <v>13</v>
      </c>
      <c r="K571" s="3">
        <v>25</v>
      </c>
      <c r="L571" s="3">
        <v>3</v>
      </c>
      <c r="M571">
        <v>1</v>
      </c>
      <c r="N571">
        <v>1</v>
      </c>
      <c r="O571">
        <v>1</v>
      </c>
      <c r="P571" s="3">
        <v>2</v>
      </c>
      <c r="Q571" s="3">
        <v>0</v>
      </c>
      <c r="R571" s="3">
        <v>73829</v>
      </c>
    </row>
    <row r="572" spans="1:18" x14ac:dyDescent="0.25">
      <c r="A572" s="1">
        <v>60000568</v>
      </c>
      <c r="B572" s="3">
        <v>41</v>
      </c>
      <c r="C572" s="3">
        <v>1</v>
      </c>
      <c r="D572" s="3">
        <v>1</v>
      </c>
      <c r="E572" s="3">
        <v>2</v>
      </c>
      <c r="F572">
        <v>2</v>
      </c>
      <c r="G572" s="3">
        <v>12</v>
      </c>
      <c r="H572" s="3">
        <v>2</v>
      </c>
      <c r="I572" s="3">
        <v>8</v>
      </c>
      <c r="J572" s="3">
        <v>5</v>
      </c>
      <c r="K572" s="3">
        <v>45</v>
      </c>
      <c r="L572" s="3">
        <v>3</v>
      </c>
      <c r="M572">
        <v>1</v>
      </c>
      <c r="N572">
        <v>2</v>
      </c>
      <c r="O572">
        <v>2</v>
      </c>
      <c r="P572" s="3">
        <v>1</v>
      </c>
      <c r="Q572" s="3">
        <v>6</v>
      </c>
      <c r="R572" s="3">
        <v>55684</v>
      </c>
    </row>
    <row r="573" spans="1:18" x14ac:dyDescent="0.25">
      <c r="A573" s="1">
        <v>60000569</v>
      </c>
      <c r="B573" s="3">
        <v>52</v>
      </c>
      <c r="C573" s="3">
        <v>2</v>
      </c>
      <c r="D573" s="3">
        <v>1</v>
      </c>
      <c r="E573" s="3">
        <v>12</v>
      </c>
      <c r="F573">
        <v>2</v>
      </c>
      <c r="G573" s="3">
        <v>34</v>
      </c>
      <c r="H573" s="3">
        <v>5</v>
      </c>
      <c r="I573" s="3">
        <v>12</v>
      </c>
      <c r="J573" s="3">
        <v>4</v>
      </c>
      <c r="K573" s="3">
        <v>4</v>
      </c>
      <c r="L573" s="3">
        <v>3</v>
      </c>
      <c r="M573">
        <v>2</v>
      </c>
      <c r="N573">
        <v>1</v>
      </c>
      <c r="O573">
        <v>1</v>
      </c>
      <c r="P573" s="3">
        <v>1</v>
      </c>
      <c r="Q573" s="3">
        <v>1</v>
      </c>
      <c r="R573" s="3">
        <v>66711</v>
      </c>
    </row>
    <row r="574" spans="1:18" x14ac:dyDescent="0.25">
      <c r="A574" s="1">
        <v>60000570</v>
      </c>
      <c r="B574" s="3">
        <v>22</v>
      </c>
      <c r="C574" s="3">
        <v>2</v>
      </c>
      <c r="D574" s="3">
        <v>2</v>
      </c>
      <c r="E574" s="3">
        <v>1</v>
      </c>
      <c r="F574">
        <v>2</v>
      </c>
      <c r="G574" s="3">
        <v>35</v>
      </c>
      <c r="H574" s="3">
        <v>5</v>
      </c>
      <c r="I574" s="3">
        <v>14</v>
      </c>
      <c r="J574" s="3">
        <v>9</v>
      </c>
      <c r="K574" s="3">
        <v>45</v>
      </c>
      <c r="L574" s="3">
        <v>2</v>
      </c>
      <c r="M574">
        <v>1</v>
      </c>
      <c r="N574">
        <v>1</v>
      </c>
      <c r="O574">
        <v>2</v>
      </c>
      <c r="P574" s="3">
        <v>1</v>
      </c>
      <c r="Q574" s="3">
        <v>4</v>
      </c>
      <c r="R574" s="3">
        <v>35715</v>
      </c>
    </row>
    <row r="575" spans="1:18" x14ac:dyDescent="0.25">
      <c r="A575" s="1">
        <v>60000571</v>
      </c>
      <c r="B575" s="3">
        <v>31</v>
      </c>
      <c r="C575" s="3">
        <v>2</v>
      </c>
      <c r="D575" s="3">
        <v>1</v>
      </c>
      <c r="E575" s="3">
        <v>11</v>
      </c>
      <c r="F575">
        <v>3</v>
      </c>
      <c r="G575" s="3">
        <v>38</v>
      </c>
      <c r="H575" s="3">
        <v>5</v>
      </c>
      <c r="I575" s="3">
        <v>16</v>
      </c>
      <c r="J575" s="3">
        <v>6</v>
      </c>
      <c r="K575" s="3">
        <v>34</v>
      </c>
      <c r="L575" s="3">
        <v>1</v>
      </c>
      <c r="M575">
        <v>1</v>
      </c>
      <c r="N575">
        <v>2</v>
      </c>
      <c r="O575">
        <v>2</v>
      </c>
      <c r="P575" s="3">
        <v>1</v>
      </c>
      <c r="Q575" s="3">
        <v>5</v>
      </c>
      <c r="R575" s="3">
        <v>74814</v>
      </c>
    </row>
    <row r="576" spans="1:18" x14ac:dyDescent="0.25">
      <c r="A576" s="1">
        <v>60000572</v>
      </c>
      <c r="B576" s="3">
        <v>58</v>
      </c>
      <c r="C576" s="3">
        <v>1</v>
      </c>
      <c r="D576" s="3">
        <v>1</v>
      </c>
      <c r="E576" s="3">
        <v>10</v>
      </c>
      <c r="F576">
        <v>2</v>
      </c>
      <c r="G576" s="3">
        <v>13</v>
      </c>
      <c r="H576" s="3">
        <v>2</v>
      </c>
      <c r="I576" s="3">
        <v>17</v>
      </c>
      <c r="J576" s="3">
        <v>7</v>
      </c>
      <c r="K576" s="3">
        <v>37</v>
      </c>
      <c r="L576" s="3">
        <v>2</v>
      </c>
      <c r="M576">
        <v>2</v>
      </c>
      <c r="N576">
        <v>2</v>
      </c>
      <c r="O576">
        <v>1</v>
      </c>
      <c r="P576" s="3">
        <v>2</v>
      </c>
      <c r="Q576" s="3">
        <v>0</v>
      </c>
      <c r="R576" s="3">
        <v>83368</v>
      </c>
    </row>
    <row r="577" spans="1:18" x14ac:dyDescent="0.25">
      <c r="A577" s="1">
        <v>60000573</v>
      </c>
      <c r="B577" s="3">
        <v>44</v>
      </c>
      <c r="C577" s="3">
        <v>1</v>
      </c>
      <c r="D577" s="3">
        <v>1</v>
      </c>
      <c r="E577" s="3">
        <v>12</v>
      </c>
      <c r="F577">
        <v>3</v>
      </c>
      <c r="G577" s="3">
        <v>13</v>
      </c>
      <c r="H577" s="3">
        <v>2</v>
      </c>
      <c r="I577" s="3">
        <v>4</v>
      </c>
      <c r="J577" s="3">
        <v>4</v>
      </c>
      <c r="K577" s="3">
        <v>39</v>
      </c>
      <c r="L577" s="3">
        <v>3</v>
      </c>
      <c r="M577">
        <v>1</v>
      </c>
      <c r="N577">
        <v>2</v>
      </c>
      <c r="O577">
        <v>1</v>
      </c>
      <c r="P577" s="3">
        <v>2</v>
      </c>
      <c r="Q577" s="3">
        <v>0</v>
      </c>
      <c r="R577" s="3">
        <v>37503</v>
      </c>
    </row>
    <row r="578" spans="1:18" x14ac:dyDescent="0.25">
      <c r="A578" s="1">
        <v>60000574</v>
      </c>
      <c r="B578" s="3">
        <v>35</v>
      </c>
      <c r="C578" s="3">
        <v>1</v>
      </c>
      <c r="D578" s="3">
        <v>2</v>
      </c>
      <c r="E578" s="3">
        <v>3</v>
      </c>
      <c r="F578">
        <v>3</v>
      </c>
      <c r="G578" s="3">
        <v>12</v>
      </c>
      <c r="H578" s="3">
        <v>2</v>
      </c>
      <c r="I578" s="3">
        <v>5</v>
      </c>
      <c r="J578" s="3">
        <v>9</v>
      </c>
      <c r="K578" s="3">
        <v>24</v>
      </c>
      <c r="L578" s="3">
        <v>2</v>
      </c>
      <c r="M578">
        <v>2</v>
      </c>
      <c r="N578">
        <v>2</v>
      </c>
      <c r="O578">
        <v>1</v>
      </c>
      <c r="P578" s="3">
        <v>2</v>
      </c>
      <c r="Q578" s="3">
        <v>0</v>
      </c>
      <c r="R578" s="3">
        <v>24263</v>
      </c>
    </row>
    <row r="579" spans="1:18" x14ac:dyDescent="0.25">
      <c r="A579" s="1">
        <v>60000575</v>
      </c>
      <c r="B579" s="3">
        <v>43</v>
      </c>
      <c r="C579" s="3">
        <v>2</v>
      </c>
      <c r="D579" s="3">
        <v>1</v>
      </c>
      <c r="E579" s="3">
        <v>7</v>
      </c>
      <c r="F579">
        <v>3</v>
      </c>
      <c r="G579" s="3">
        <v>14</v>
      </c>
      <c r="H579" s="3">
        <v>2</v>
      </c>
      <c r="I579" s="3">
        <v>2</v>
      </c>
      <c r="J579" s="3">
        <v>10</v>
      </c>
      <c r="K579" s="3">
        <v>50</v>
      </c>
      <c r="L579" s="3">
        <v>2</v>
      </c>
      <c r="M579">
        <v>2</v>
      </c>
      <c r="N579">
        <v>2</v>
      </c>
      <c r="O579">
        <v>1</v>
      </c>
      <c r="P579" s="3">
        <v>2</v>
      </c>
      <c r="Q579" s="3">
        <v>0</v>
      </c>
      <c r="R579" s="3">
        <v>41770</v>
      </c>
    </row>
    <row r="580" spans="1:18" x14ac:dyDescent="0.25">
      <c r="A580" s="1">
        <v>60000576</v>
      </c>
      <c r="B580" s="3">
        <v>30</v>
      </c>
      <c r="C580" s="3">
        <v>1</v>
      </c>
      <c r="D580" s="3">
        <v>1</v>
      </c>
      <c r="E580" s="3">
        <v>3</v>
      </c>
      <c r="F580">
        <v>1</v>
      </c>
      <c r="G580" s="3">
        <v>30</v>
      </c>
      <c r="H580" s="3">
        <v>4</v>
      </c>
      <c r="I580" s="3">
        <v>3</v>
      </c>
      <c r="J580" s="3">
        <v>3</v>
      </c>
      <c r="K580" s="3">
        <v>46</v>
      </c>
      <c r="L580" s="3">
        <v>1</v>
      </c>
      <c r="M580">
        <v>2</v>
      </c>
      <c r="N580">
        <v>2</v>
      </c>
      <c r="O580">
        <v>1</v>
      </c>
      <c r="P580" s="3">
        <v>2</v>
      </c>
      <c r="Q580" s="3">
        <v>0</v>
      </c>
      <c r="R580" s="3">
        <v>55840</v>
      </c>
    </row>
    <row r="581" spans="1:18" x14ac:dyDescent="0.25">
      <c r="A581" s="1">
        <v>60000577</v>
      </c>
      <c r="B581" s="3">
        <v>48</v>
      </c>
      <c r="C581" s="3">
        <v>2</v>
      </c>
      <c r="D581" s="3">
        <v>1</v>
      </c>
      <c r="E581" s="3">
        <v>6</v>
      </c>
      <c r="F581">
        <v>3</v>
      </c>
      <c r="G581" s="3">
        <v>11</v>
      </c>
      <c r="H581" s="3">
        <v>1</v>
      </c>
      <c r="I581" s="3">
        <v>3</v>
      </c>
      <c r="J581" s="3">
        <v>8</v>
      </c>
      <c r="K581" s="3">
        <v>44</v>
      </c>
      <c r="L581" s="3">
        <v>1</v>
      </c>
      <c r="M581">
        <v>2</v>
      </c>
      <c r="N581">
        <v>2</v>
      </c>
      <c r="O581">
        <v>2</v>
      </c>
      <c r="P581" s="3">
        <v>1</v>
      </c>
      <c r="Q581" s="3">
        <v>1</v>
      </c>
      <c r="R581" s="3">
        <v>72353</v>
      </c>
    </row>
    <row r="582" spans="1:18" x14ac:dyDescent="0.25">
      <c r="A582" s="1">
        <v>60000578</v>
      </c>
      <c r="B582" s="3">
        <v>54</v>
      </c>
      <c r="C582" s="3">
        <v>2</v>
      </c>
      <c r="D582" s="3">
        <v>1</v>
      </c>
      <c r="E582" s="3">
        <v>1</v>
      </c>
      <c r="F582">
        <v>2</v>
      </c>
      <c r="G582" s="3">
        <v>36</v>
      </c>
      <c r="H582" s="3">
        <v>5</v>
      </c>
      <c r="I582" s="3">
        <v>15</v>
      </c>
      <c r="J582" s="3">
        <v>5</v>
      </c>
      <c r="K582" s="3">
        <v>33</v>
      </c>
      <c r="L582" s="3">
        <v>2</v>
      </c>
      <c r="M582">
        <v>1</v>
      </c>
      <c r="N582">
        <v>2</v>
      </c>
      <c r="O582">
        <v>1</v>
      </c>
      <c r="P582" s="3">
        <v>1</v>
      </c>
      <c r="Q582" s="3">
        <v>6</v>
      </c>
      <c r="R582" s="3">
        <v>40780</v>
      </c>
    </row>
    <row r="583" spans="1:18" x14ac:dyDescent="0.25">
      <c r="A583" s="1">
        <v>60000579</v>
      </c>
      <c r="B583" s="3">
        <v>31</v>
      </c>
      <c r="C583" s="3">
        <v>2</v>
      </c>
      <c r="D583" s="3">
        <v>2</v>
      </c>
      <c r="E583" s="3">
        <v>4</v>
      </c>
      <c r="F583">
        <v>2</v>
      </c>
      <c r="G583" s="3">
        <v>26</v>
      </c>
      <c r="H583" s="3">
        <v>4</v>
      </c>
      <c r="I583" s="3">
        <v>2</v>
      </c>
      <c r="J583" s="3">
        <v>2</v>
      </c>
      <c r="K583" s="3">
        <v>8</v>
      </c>
      <c r="L583" s="3">
        <v>3</v>
      </c>
      <c r="M583">
        <v>2</v>
      </c>
      <c r="N583">
        <v>2</v>
      </c>
      <c r="O583">
        <v>1</v>
      </c>
      <c r="P583" s="3">
        <v>1</v>
      </c>
      <c r="Q583" s="3">
        <v>7</v>
      </c>
      <c r="R583" s="3">
        <v>76617</v>
      </c>
    </row>
    <row r="584" spans="1:18" x14ac:dyDescent="0.25">
      <c r="A584" s="1">
        <v>60000580</v>
      </c>
      <c r="B584" s="3">
        <v>46</v>
      </c>
      <c r="C584" s="3">
        <v>1</v>
      </c>
      <c r="D584" s="3">
        <v>2</v>
      </c>
      <c r="E584" s="3">
        <v>12</v>
      </c>
      <c r="F584">
        <v>1</v>
      </c>
      <c r="G584" s="3">
        <v>15</v>
      </c>
      <c r="H584" s="3">
        <v>2</v>
      </c>
      <c r="I584" s="3">
        <v>12</v>
      </c>
      <c r="J584" s="3">
        <v>6</v>
      </c>
      <c r="K584" s="3">
        <v>7</v>
      </c>
      <c r="L584" s="3">
        <v>1</v>
      </c>
      <c r="M584">
        <v>2</v>
      </c>
      <c r="N584">
        <v>1</v>
      </c>
      <c r="O584">
        <v>1</v>
      </c>
      <c r="P584" s="3">
        <v>2</v>
      </c>
      <c r="Q584" s="3">
        <v>0</v>
      </c>
      <c r="R584" s="3">
        <v>68090</v>
      </c>
    </row>
    <row r="585" spans="1:18" x14ac:dyDescent="0.25">
      <c r="A585" s="1">
        <v>60000581</v>
      </c>
      <c r="B585" s="3">
        <v>25</v>
      </c>
      <c r="C585" s="3">
        <v>2</v>
      </c>
      <c r="D585" s="3">
        <v>2</v>
      </c>
      <c r="E585" s="3">
        <v>8</v>
      </c>
      <c r="F585">
        <v>1</v>
      </c>
      <c r="G585" s="3">
        <v>10</v>
      </c>
      <c r="H585" s="3">
        <v>1</v>
      </c>
      <c r="I585" s="3">
        <v>9</v>
      </c>
      <c r="J585" s="3">
        <v>8</v>
      </c>
      <c r="K585" s="3">
        <v>40</v>
      </c>
      <c r="L585" s="3">
        <v>2</v>
      </c>
      <c r="M585">
        <v>1</v>
      </c>
      <c r="N585">
        <v>2</v>
      </c>
      <c r="O585">
        <v>2</v>
      </c>
      <c r="P585" s="3">
        <v>1</v>
      </c>
      <c r="Q585" s="3">
        <v>7</v>
      </c>
      <c r="R585" s="3">
        <v>46276</v>
      </c>
    </row>
    <row r="586" spans="1:18" x14ac:dyDescent="0.25">
      <c r="A586" s="1">
        <v>60000582</v>
      </c>
      <c r="B586" s="3">
        <v>27</v>
      </c>
      <c r="C586" s="3">
        <v>2</v>
      </c>
      <c r="D586" s="3">
        <v>1</v>
      </c>
      <c r="E586" s="3">
        <v>2</v>
      </c>
      <c r="F586">
        <v>1</v>
      </c>
      <c r="G586" s="3">
        <v>11</v>
      </c>
      <c r="H586" s="3">
        <v>1</v>
      </c>
      <c r="I586" s="3">
        <v>9</v>
      </c>
      <c r="J586" s="3">
        <v>13</v>
      </c>
      <c r="K586" s="3">
        <v>49</v>
      </c>
      <c r="L586" s="3">
        <v>1</v>
      </c>
      <c r="M586">
        <v>2</v>
      </c>
      <c r="N586">
        <v>2</v>
      </c>
      <c r="O586">
        <v>2</v>
      </c>
      <c r="P586" s="3">
        <v>1</v>
      </c>
      <c r="Q586" s="3">
        <v>7</v>
      </c>
      <c r="R586" s="3">
        <v>41093</v>
      </c>
    </row>
    <row r="587" spans="1:18" x14ac:dyDescent="0.25">
      <c r="A587" s="1">
        <v>60000583</v>
      </c>
      <c r="B587" s="3">
        <v>38</v>
      </c>
      <c r="C587" s="3">
        <v>2</v>
      </c>
      <c r="D587" s="3">
        <v>2</v>
      </c>
      <c r="E587" s="3">
        <v>10</v>
      </c>
      <c r="F587">
        <v>1</v>
      </c>
      <c r="G587" s="3">
        <v>36</v>
      </c>
      <c r="H587" s="3">
        <v>5</v>
      </c>
      <c r="I587" s="3">
        <v>16</v>
      </c>
      <c r="J587" s="3">
        <v>8</v>
      </c>
      <c r="K587" s="3">
        <v>23</v>
      </c>
      <c r="L587" s="3">
        <v>1</v>
      </c>
      <c r="M587">
        <v>2</v>
      </c>
      <c r="N587">
        <v>1</v>
      </c>
      <c r="O587">
        <v>1</v>
      </c>
      <c r="P587" s="3">
        <v>1</v>
      </c>
      <c r="Q587" s="3">
        <v>1</v>
      </c>
      <c r="R587" s="3">
        <v>53884</v>
      </c>
    </row>
    <row r="588" spans="1:18" x14ac:dyDescent="0.25">
      <c r="A588" s="1">
        <v>60000584</v>
      </c>
      <c r="B588" s="3">
        <v>31</v>
      </c>
      <c r="C588" s="3">
        <v>1</v>
      </c>
      <c r="D588" s="3">
        <v>1</v>
      </c>
      <c r="E588" s="3">
        <v>10</v>
      </c>
      <c r="F588">
        <v>2</v>
      </c>
      <c r="G588" s="3">
        <v>32</v>
      </c>
      <c r="H588" s="3">
        <v>5</v>
      </c>
      <c r="I588" s="3">
        <v>7</v>
      </c>
      <c r="J588" s="3">
        <v>3</v>
      </c>
      <c r="K588" s="3">
        <v>7</v>
      </c>
      <c r="L588" s="3">
        <v>2</v>
      </c>
      <c r="M588">
        <v>1</v>
      </c>
      <c r="N588">
        <v>1</v>
      </c>
      <c r="O588">
        <v>1</v>
      </c>
      <c r="P588" s="3">
        <v>2</v>
      </c>
      <c r="Q588" s="3">
        <v>0</v>
      </c>
      <c r="R588" s="3">
        <v>76973</v>
      </c>
    </row>
    <row r="589" spans="1:18" x14ac:dyDescent="0.25">
      <c r="A589" s="1">
        <v>60000585</v>
      </c>
      <c r="B589" s="3">
        <v>52</v>
      </c>
      <c r="C589" s="3">
        <v>2</v>
      </c>
      <c r="D589" s="3">
        <v>2</v>
      </c>
      <c r="E589" s="3">
        <v>6</v>
      </c>
      <c r="F589">
        <v>3</v>
      </c>
      <c r="G589" s="3">
        <v>14</v>
      </c>
      <c r="H589" s="3">
        <v>2</v>
      </c>
      <c r="I589" s="3">
        <v>17</v>
      </c>
      <c r="J589" s="3">
        <v>3</v>
      </c>
      <c r="K589" s="3">
        <v>48</v>
      </c>
      <c r="L589" s="3">
        <v>1</v>
      </c>
      <c r="M589">
        <v>2</v>
      </c>
      <c r="N589">
        <v>2</v>
      </c>
      <c r="O589">
        <v>1</v>
      </c>
      <c r="P589" s="3">
        <v>2</v>
      </c>
      <c r="Q589" s="3">
        <v>0</v>
      </c>
      <c r="R589" s="3">
        <v>45982</v>
      </c>
    </row>
    <row r="590" spans="1:18" x14ac:dyDescent="0.25">
      <c r="A590" s="1">
        <v>60000586</v>
      </c>
      <c r="B590" s="3">
        <v>21</v>
      </c>
      <c r="C590" s="3">
        <v>2</v>
      </c>
      <c r="D590" s="3">
        <v>2</v>
      </c>
      <c r="E590" s="3">
        <v>9</v>
      </c>
      <c r="F590">
        <v>2</v>
      </c>
      <c r="G590" s="3">
        <v>27</v>
      </c>
      <c r="H590" s="3">
        <v>4</v>
      </c>
      <c r="I590" s="3">
        <v>7</v>
      </c>
      <c r="J590" s="3">
        <v>8</v>
      </c>
      <c r="K590" s="3">
        <v>9</v>
      </c>
      <c r="L590" s="3">
        <v>2</v>
      </c>
      <c r="M590">
        <v>2</v>
      </c>
      <c r="N590">
        <v>2</v>
      </c>
      <c r="O590">
        <v>2</v>
      </c>
      <c r="P590" s="3">
        <v>2</v>
      </c>
      <c r="Q590" s="3">
        <v>0</v>
      </c>
      <c r="R590" s="3">
        <v>28570</v>
      </c>
    </row>
    <row r="591" spans="1:18" x14ac:dyDescent="0.25">
      <c r="A591" s="1">
        <v>60000587</v>
      </c>
      <c r="B591" s="3">
        <v>65</v>
      </c>
      <c r="C591" s="3">
        <v>1</v>
      </c>
      <c r="D591" s="3">
        <v>1</v>
      </c>
      <c r="E591" s="3">
        <v>10</v>
      </c>
      <c r="F591">
        <v>3</v>
      </c>
      <c r="G591" s="3">
        <v>22</v>
      </c>
      <c r="H591" s="3">
        <v>3</v>
      </c>
      <c r="I591" s="3">
        <v>10</v>
      </c>
      <c r="J591" s="3">
        <v>10</v>
      </c>
      <c r="K591" s="3">
        <v>47</v>
      </c>
      <c r="L591" s="3">
        <v>1</v>
      </c>
      <c r="M591">
        <v>1</v>
      </c>
      <c r="N591">
        <v>2</v>
      </c>
      <c r="O591">
        <v>2</v>
      </c>
      <c r="P591" s="3">
        <v>1</v>
      </c>
      <c r="Q591" s="3">
        <v>4</v>
      </c>
      <c r="R591" s="3">
        <v>71377</v>
      </c>
    </row>
    <row r="592" spans="1:18" x14ac:dyDescent="0.25">
      <c r="A592" s="1">
        <v>60000588</v>
      </c>
      <c r="B592" s="3">
        <v>40</v>
      </c>
      <c r="C592" s="3">
        <v>2</v>
      </c>
      <c r="D592" s="3">
        <v>1</v>
      </c>
      <c r="E592" s="3">
        <v>12</v>
      </c>
      <c r="F592">
        <v>2</v>
      </c>
      <c r="G592" s="3">
        <v>26</v>
      </c>
      <c r="H592" s="3">
        <v>4</v>
      </c>
      <c r="I592" s="3">
        <v>16</v>
      </c>
      <c r="J592" s="3">
        <v>8</v>
      </c>
      <c r="K592" s="3">
        <v>6</v>
      </c>
      <c r="L592" s="3">
        <v>1</v>
      </c>
      <c r="M592">
        <v>1</v>
      </c>
      <c r="N592">
        <v>1</v>
      </c>
      <c r="O592">
        <v>1</v>
      </c>
      <c r="P592" s="3">
        <v>2</v>
      </c>
      <c r="Q592" s="3">
        <v>0</v>
      </c>
      <c r="R592" s="3">
        <v>57215</v>
      </c>
    </row>
    <row r="593" spans="1:18" x14ac:dyDescent="0.25">
      <c r="A593" s="1">
        <v>60000589</v>
      </c>
      <c r="B593" s="3">
        <v>50</v>
      </c>
      <c r="C593" s="3">
        <v>1</v>
      </c>
      <c r="D593" s="3">
        <v>2</v>
      </c>
      <c r="E593" s="3">
        <v>4</v>
      </c>
      <c r="F593">
        <v>1</v>
      </c>
      <c r="G593" s="3">
        <v>37</v>
      </c>
      <c r="H593" s="3">
        <v>5</v>
      </c>
      <c r="I593" s="3">
        <v>7</v>
      </c>
      <c r="J593" s="3">
        <v>12</v>
      </c>
      <c r="K593" s="3">
        <v>42</v>
      </c>
      <c r="L593" s="3">
        <v>2</v>
      </c>
      <c r="M593">
        <v>2</v>
      </c>
      <c r="N593">
        <v>2</v>
      </c>
      <c r="O593">
        <v>2</v>
      </c>
      <c r="P593" s="3">
        <v>1</v>
      </c>
      <c r="Q593" s="3">
        <v>2</v>
      </c>
      <c r="R593" s="3">
        <v>48218</v>
      </c>
    </row>
    <row r="594" spans="1:18" x14ac:dyDescent="0.25">
      <c r="A594" s="1">
        <v>60000590</v>
      </c>
      <c r="B594" s="3">
        <v>33</v>
      </c>
      <c r="C594" s="3">
        <v>1</v>
      </c>
      <c r="D594" s="3">
        <v>1</v>
      </c>
      <c r="E594" s="3">
        <v>5</v>
      </c>
      <c r="F594">
        <v>1</v>
      </c>
      <c r="G594" s="3">
        <v>18</v>
      </c>
      <c r="H594" s="3">
        <v>2</v>
      </c>
      <c r="I594" s="3">
        <v>1</v>
      </c>
      <c r="J594" s="3">
        <v>3</v>
      </c>
      <c r="K594" s="3">
        <v>31</v>
      </c>
      <c r="L594" s="3">
        <v>2</v>
      </c>
      <c r="M594">
        <v>2</v>
      </c>
      <c r="N594">
        <v>2</v>
      </c>
      <c r="O594">
        <v>1</v>
      </c>
      <c r="P594" s="3">
        <v>2</v>
      </c>
      <c r="Q594" s="3">
        <v>0</v>
      </c>
      <c r="R594" s="3">
        <v>50569</v>
      </c>
    </row>
    <row r="595" spans="1:18" x14ac:dyDescent="0.25">
      <c r="A595" s="1">
        <v>60000591</v>
      </c>
      <c r="B595" s="3">
        <v>41</v>
      </c>
      <c r="C595" s="3">
        <v>2</v>
      </c>
      <c r="D595" s="3">
        <v>1</v>
      </c>
      <c r="E595" s="3">
        <v>4</v>
      </c>
      <c r="F595">
        <v>1</v>
      </c>
      <c r="G595" s="3">
        <v>28</v>
      </c>
      <c r="H595" s="3">
        <v>4</v>
      </c>
      <c r="I595" s="3">
        <v>5</v>
      </c>
      <c r="J595" s="3">
        <v>7</v>
      </c>
      <c r="K595" s="3">
        <v>46</v>
      </c>
      <c r="L595" s="3">
        <v>2</v>
      </c>
      <c r="M595">
        <v>2</v>
      </c>
      <c r="N595">
        <v>2</v>
      </c>
      <c r="O595">
        <v>2</v>
      </c>
      <c r="P595" s="3">
        <v>2</v>
      </c>
      <c r="Q595" s="3">
        <v>0</v>
      </c>
      <c r="R595" s="3">
        <v>65399</v>
      </c>
    </row>
    <row r="596" spans="1:18" x14ac:dyDescent="0.25">
      <c r="A596" s="1">
        <v>60000592</v>
      </c>
      <c r="B596" s="3">
        <v>56</v>
      </c>
      <c r="C596" s="3">
        <v>2</v>
      </c>
      <c r="D596" s="3">
        <v>2</v>
      </c>
      <c r="E596" s="3">
        <v>5</v>
      </c>
      <c r="F596">
        <v>2</v>
      </c>
      <c r="G596" s="3">
        <v>28</v>
      </c>
      <c r="H596" s="3">
        <v>4</v>
      </c>
      <c r="I596" s="3">
        <v>2</v>
      </c>
      <c r="J596" s="3">
        <v>8</v>
      </c>
      <c r="K596" s="3">
        <v>17</v>
      </c>
      <c r="L596" s="3">
        <v>3</v>
      </c>
      <c r="M596">
        <v>1</v>
      </c>
      <c r="N596">
        <v>2</v>
      </c>
      <c r="O596">
        <v>2</v>
      </c>
      <c r="P596" s="3">
        <v>2</v>
      </c>
      <c r="Q596" s="3">
        <v>0</v>
      </c>
      <c r="R596" s="3">
        <v>52033</v>
      </c>
    </row>
    <row r="597" spans="1:18" x14ac:dyDescent="0.25">
      <c r="A597" s="1">
        <v>60000593</v>
      </c>
      <c r="B597" s="3">
        <v>26</v>
      </c>
      <c r="C597" s="3">
        <v>2</v>
      </c>
      <c r="D597" s="3">
        <v>2</v>
      </c>
      <c r="E597" s="3">
        <v>9</v>
      </c>
      <c r="F597">
        <v>1</v>
      </c>
      <c r="G597" s="3">
        <v>13</v>
      </c>
      <c r="H597" s="3">
        <v>2</v>
      </c>
      <c r="I597" s="3">
        <v>16</v>
      </c>
      <c r="J597" s="3">
        <v>13</v>
      </c>
      <c r="K597" s="3">
        <v>50</v>
      </c>
      <c r="L597" s="3">
        <v>2</v>
      </c>
      <c r="M597">
        <v>2</v>
      </c>
      <c r="N597">
        <v>2</v>
      </c>
      <c r="O597">
        <v>1</v>
      </c>
      <c r="P597" s="3">
        <v>2</v>
      </c>
      <c r="Q597" s="3">
        <v>0</v>
      </c>
      <c r="R597" s="3">
        <v>68451</v>
      </c>
    </row>
    <row r="598" spans="1:18" x14ac:dyDescent="0.25">
      <c r="A598" s="1">
        <v>60000594</v>
      </c>
      <c r="B598" s="3">
        <v>56</v>
      </c>
      <c r="C598" s="3">
        <v>1</v>
      </c>
      <c r="D598" s="3">
        <v>2</v>
      </c>
      <c r="E598" s="3">
        <v>3</v>
      </c>
      <c r="F598">
        <v>3</v>
      </c>
      <c r="G598" s="3">
        <v>19</v>
      </c>
      <c r="H598" s="3">
        <v>3</v>
      </c>
      <c r="I598" s="3">
        <v>6</v>
      </c>
      <c r="J598" s="3">
        <v>12</v>
      </c>
      <c r="K598" s="3">
        <v>36</v>
      </c>
      <c r="L598" s="3">
        <v>2</v>
      </c>
      <c r="M598">
        <v>2</v>
      </c>
      <c r="N598">
        <v>1</v>
      </c>
      <c r="O598">
        <v>1</v>
      </c>
      <c r="P598" s="3">
        <v>2</v>
      </c>
      <c r="Q598" s="3">
        <v>0</v>
      </c>
      <c r="R598" s="3">
        <v>25667</v>
      </c>
    </row>
    <row r="599" spans="1:18" x14ac:dyDescent="0.25">
      <c r="A599" s="1">
        <v>60000595</v>
      </c>
      <c r="B599" s="3">
        <v>59</v>
      </c>
      <c r="C599" s="3">
        <v>1</v>
      </c>
      <c r="D599" s="3">
        <v>1</v>
      </c>
      <c r="E599" s="3">
        <v>5</v>
      </c>
      <c r="F599">
        <v>1</v>
      </c>
      <c r="G599" s="3">
        <v>20</v>
      </c>
      <c r="H599" s="3">
        <v>3</v>
      </c>
      <c r="I599" s="3">
        <v>3</v>
      </c>
      <c r="J599" s="3">
        <v>2</v>
      </c>
      <c r="K599" s="3">
        <v>19</v>
      </c>
      <c r="L599" s="3">
        <v>1</v>
      </c>
      <c r="M599">
        <v>2</v>
      </c>
      <c r="N599">
        <v>1</v>
      </c>
      <c r="O599">
        <v>2</v>
      </c>
      <c r="P599" s="3">
        <v>2</v>
      </c>
      <c r="Q599" s="3">
        <v>0</v>
      </c>
      <c r="R599" s="3">
        <v>83560</v>
      </c>
    </row>
    <row r="600" spans="1:18" x14ac:dyDescent="0.25">
      <c r="A600" s="1">
        <v>60000596</v>
      </c>
      <c r="B600" s="3">
        <v>44</v>
      </c>
      <c r="C600" s="3">
        <v>2</v>
      </c>
      <c r="D600" s="3">
        <v>2</v>
      </c>
      <c r="E600" s="3">
        <v>3</v>
      </c>
      <c r="F600">
        <v>2</v>
      </c>
      <c r="G600" s="3">
        <v>26</v>
      </c>
      <c r="H600" s="3">
        <v>4</v>
      </c>
      <c r="I600" s="3">
        <v>5</v>
      </c>
      <c r="J600" s="3">
        <v>13</v>
      </c>
      <c r="K600" s="3">
        <v>12</v>
      </c>
      <c r="L600" s="3">
        <v>1</v>
      </c>
      <c r="M600">
        <v>1</v>
      </c>
      <c r="N600">
        <v>2</v>
      </c>
      <c r="O600">
        <v>1</v>
      </c>
      <c r="P600" s="3">
        <v>2</v>
      </c>
      <c r="Q600" s="3">
        <v>0</v>
      </c>
      <c r="R600" s="3">
        <v>57917</v>
      </c>
    </row>
    <row r="601" spans="1:18" x14ac:dyDescent="0.25">
      <c r="A601" s="1">
        <v>60000597</v>
      </c>
      <c r="B601" s="3">
        <v>56</v>
      </c>
      <c r="C601" s="3">
        <v>2</v>
      </c>
      <c r="D601" s="3">
        <v>1</v>
      </c>
      <c r="E601" s="3">
        <v>9</v>
      </c>
      <c r="F601">
        <v>3</v>
      </c>
      <c r="G601" s="3">
        <v>16</v>
      </c>
      <c r="H601" s="3">
        <v>2</v>
      </c>
      <c r="I601" s="3">
        <v>3</v>
      </c>
      <c r="J601" s="3">
        <v>11</v>
      </c>
      <c r="K601" s="3">
        <v>34</v>
      </c>
      <c r="L601" s="3">
        <v>2</v>
      </c>
      <c r="M601">
        <v>2</v>
      </c>
      <c r="N601">
        <v>2</v>
      </c>
      <c r="O601">
        <v>2</v>
      </c>
      <c r="P601" s="3">
        <v>2</v>
      </c>
      <c r="Q601" s="3">
        <v>0</v>
      </c>
      <c r="R601" s="3">
        <v>50258</v>
      </c>
    </row>
    <row r="602" spans="1:18" x14ac:dyDescent="0.25">
      <c r="A602" s="1">
        <v>60000598</v>
      </c>
      <c r="B602" s="3">
        <v>34</v>
      </c>
      <c r="C602" s="3">
        <v>2</v>
      </c>
      <c r="D602" s="3">
        <v>2</v>
      </c>
      <c r="E602" s="3">
        <v>1</v>
      </c>
      <c r="F602">
        <v>3</v>
      </c>
      <c r="G602" s="3">
        <v>15</v>
      </c>
      <c r="H602" s="3">
        <v>2</v>
      </c>
      <c r="I602" s="3">
        <v>16</v>
      </c>
      <c r="J602" s="3">
        <v>2</v>
      </c>
      <c r="K602" s="3">
        <v>3</v>
      </c>
      <c r="L602" s="3">
        <v>1</v>
      </c>
      <c r="M602">
        <v>2</v>
      </c>
      <c r="N602">
        <v>1</v>
      </c>
      <c r="O602">
        <v>2</v>
      </c>
      <c r="P602" s="3">
        <v>1</v>
      </c>
      <c r="Q602" s="3">
        <v>1</v>
      </c>
      <c r="R602" s="3">
        <v>53537</v>
      </c>
    </row>
    <row r="603" spans="1:18" x14ac:dyDescent="0.25">
      <c r="A603" s="1">
        <v>60000599</v>
      </c>
      <c r="B603" s="3">
        <v>31</v>
      </c>
      <c r="C603" s="3">
        <v>1</v>
      </c>
      <c r="D603" s="3">
        <v>2</v>
      </c>
      <c r="E603" s="3">
        <v>1</v>
      </c>
      <c r="F603">
        <v>3</v>
      </c>
      <c r="G603" s="3">
        <v>22</v>
      </c>
      <c r="H603" s="3">
        <v>3</v>
      </c>
      <c r="I603" s="3">
        <v>17</v>
      </c>
      <c r="J603" s="3">
        <v>5</v>
      </c>
      <c r="K603" s="3">
        <v>44</v>
      </c>
      <c r="L603" s="3">
        <v>2</v>
      </c>
      <c r="M603">
        <v>1</v>
      </c>
      <c r="N603">
        <v>1</v>
      </c>
      <c r="O603">
        <v>1</v>
      </c>
      <c r="P603" s="3">
        <v>1</v>
      </c>
      <c r="Q603" s="3">
        <v>5</v>
      </c>
      <c r="R603" s="3">
        <v>36408</v>
      </c>
    </row>
    <row r="604" spans="1:18" x14ac:dyDescent="0.25">
      <c r="A604" s="1">
        <v>60000600</v>
      </c>
      <c r="B604" s="3">
        <v>54</v>
      </c>
      <c r="C604" s="3">
        <v>2</v>
      </c>
      <c r="D604" s="3">
        <v>2</v>
      </c>
      <c r="E604" s="3">
        <v>4</v>
      </c>
      <c r="F604">
        <v>1</v>
      </c>
      <c r="G604" s="3">
        <v>22</v>
      </c>
      <c r="H604" s="3">
        <v>3</v>
      </c>
      <c r="I604" s="3">
        <v>11</v>
      </c>
      <c r="J604" s="3">
        <v>4</v>
      </c>
      <c r="K604" s="3">
        <v>38</v>
      </c>
      <c r="L604" s="3">
        <v>1</v>
      </c>
      <c r="M604">
        <v>2</v>
      </c>
      <c r="N604">
        <v>1</v>
      </c>
      <c r="O604">
        <v>2</v>
      </c>
      <c r="P604" s="3">
        <v>2</v>
      </c>
      <c r="Q604" s="3">
        <v>0</v>
      </c>
      <c r="R604" s="3">
        <v>68952</v>
      </c>
    </row>
    <row r="605" spans="1:18" x14ac:dyDescent="0.25">
      <c r="A605" s="1">
        <v>60000601</v>
      </c>
      <c r="B605" s="3">
        <v>45</v>
      </c>
      <c r="C605" s="3">
        <v>1</v>
      </c>
      <c r="D605" s="3">
        <v>1</v>
      </c>
      <c r="E605" s="3">
        <v>6</v>
      </c>
      <c r="F605">
        <v>3</v>
      </c>
      <c r="G605" s="3">
        <v>27</v>
      </c>
      <c r="H605" s="3">
        <v>4</v>
      </c>
      <c r="I605" s="3">
        <v>9</v>
      </c>
      <c r="J605" s="3">
        <v>12</v>
      </c>
      <c r="K605" s="3">
        <v>42</v>
      </c>
      <c r="L605" s="3">
        <v>2</v>
      </c>
      <c r="M605">
        <v>1</v>
      </c>
      <c r="N605">
        <v>2</v>
      </c>
      <c r="O605">
        <v>1</v>
      </c>
      <c r="P605" s="3">
        <v>2</v>
      </c>
      <c r="Q605" s="3">
        <v>0</v>
      </c>
      <c r="R605" s="3">
        <v>64036</v>
      </c>
    </row>
    <row r="606" spans="1:18" x14ac:dyDescent="0.25">
      <c r="A606" s="1">
        <v>60000602</v>
      </c>
      <c r="B606" s="3">
        <v>55</v>
      </c>
      <c r="C606" s="3">
        <v>2</v>
      </c>
      <c r="D606" s="3">
        <v>2</v>
      </c>
      <c r="E606" s="3">
        <v>3</v>
      </c>
      <c r="F606">
        <v>2</v>
      </c>
      <c r="G606" s="3">
        <v>18</v>
      </c>
      <c r="H606" s="3">
        <v>2</v>
      </c>
      <c r="I606" s="3">
        <v>1</v>
      </c>
      <c r="J606" s="3">
        <v>7</v>
      </c>
      <c r="K606" s="3">
        <v>28</v>
      </c>
      <c r="L606" s="3">
        <v>3</v>
      </c>
      <c r="M606">
        <v>1</v>
      </c>
      <c r="N606">
        <v>2</v>
      </c>
      <c r="O606">
        <v>1</v>
      </c>
      <c r="P606" s="3">
        <v>2</v>
      </c>
      <c r="Q606" s="3">
        <v>0</v>
      </c>
      <c r="R606" s="3">
        <v>56531</v>
      </c>
    </row>
    <row r="607" spans="1:18" x14ac:dyDescent="0.25">
      <c r="A607" s="1">
        <v>60000603</v>
      </c>
      <c r="B607" s="3">
        <v>33</v>
      </c>
      <c r="C607" s="3">
        <v>1</v>
      </c>
      <c r="D607" s="3">
        <v>1</v>
      </c>
      <c r="E607" s="3">
        <v>5</v>
      </c>
      <c r="F607">
        <v>1</v>
      </c>
      <c r="G607" s="3">
        <v>18</v>
      </c>
      <c r="H607" s="3">
        <v>2</v>
      </c>
      <c r="I607" s="3">
        <v>14</v>
      </c>
      <c r="J607" s="3">
        <v>5</v>
      </c>
      <c r="K607" s="3">
        <v>14</v>
      </c>
      <c r="L607" s="3">
        <v>2</v>
      </c>
      <c r="M607">
        <v>1</v>
      </c>
      <c r="N607">
        <v>2</v>
      </c>
      <c r="O607">
        <v>2</v>
      </c>
      <c r="P607" s="3">
        <v>2</v>
      </c>
      <c r="Q607" s="3">
        <v>0</v>
      </c>
      <c r="R607" s="3">
        <v>75914</v>
      </c>
    </row>
    <row r="608" spans="1:18" x14ac:dyDescent="0.25">
      <c r="A608" s="1">
        <v>60000604</v>
      </c>
      <c r="B608" s="3">
        <v>51</v>
      </c>
      <c r="C608" s="3">
        <v>1</v>
      </c>
      <c r="D608" s="3">
        <v>1</v>
      </c>
      <c r="E608" s="3">
        <v>10</v>
      </c>
      <c r="F608">
        <v>3</v>
      </c>
      <c r="G608" s="3">
        <v>14</v>
      </c>
      <c r="H608" s="3">
        <v>2</v>
      </c>
      <c r="I608" s="3">
        <v>11</v>
      </c>
      <c r="J608" s="3">
        <v>12</v>
      </c>
      <c r="K608" s="3">
        <v>11</v>
      </c>
      <c r="L608" s="3">
        <v>3</v>
      </c>
      <c r="M608">
        <v>1</v>
      </c>
      <c r="N608">
        <v>1</v>
      </c>
      <c r="O608">
        <v>1</v>
      </c>
      <c r="P608" s="3">
        <v>1</v>
      </c>
      <c r="Q608" s="3">
        <v>4</v>
      </c>
      <c r="R608" s="3">
        <v>68867</v>
      </c>
    </row>
    <row r="609" spans="1:18" x14ac:dyDescent="0.25">
      <c r="A609" s="1">
        <v>60000605</v>
      </c>
      <c r="B609" s="3">
        <v>45</v>
      </c>
      <c r="C609" s="3">
        <v>2</v>
      </c>
      <c r="D609" s="3">
        <v>1</v>
      </c>
      <c r="E609" s="3">
        <v>10</v>
      </c>
      <c r="F609">
        <v>1</v>
      </c>
      <c r="G609" s="3">
        <v>14</v>
      </c>
      <c r="H609" s="3">
        <v>2</v>
      </c>
      <c r="I609" s="3">
        <v>16</v>
      </c>
      <c r="J609" s="3">
        <v>2</v>
      </c>
      <c r="K609" s="3">
        <v>4</v>
      </c>
      <c r="L609" s="3">
        <v>3</v>
      </c>
      <c r="M609">
        <v>1</v>
      </c>
      <c r="N609">
        <v>2</v>
      </c>
      <c r="O609">
        <v>1</v>
      </c>
      <c r="P609" s="3">
        <v>2</v>
      </c>
      <c r="Q609" s="3">
        <v>0</v>
      </c>
      <c r="R609" s="3">
        <v>68635</v>
      </c>
    </row>
    <row r="610" spans="1:18" x14ac:dyDescent="0.25">
      <c r="A610" s="1">
        <v>60000606</v>
      </c>
      <c r="B610" s="3">
        <v>49</v>
      </c>
      <c r="C610" s="3">
        <v>2</v>
      </c>
      <c r="D610" s="3">
        <v>2</v>
      </c>
      <c r="E610" s="3">
        <v>12</v>
      </c>
      <c r="F610">
        <v>1</v>
      </c>
      <c r="G610" s="3">
        <v>34</v>
      </c>
      <c r="H610" s="3">
        <v>5</v>
      </c>
      <c r="I610" s="3">
        <v>1</v>
      </c>
      <c r="J610" s="3">
        <v>5</v>
      </c>
      <c r="K610" s="3">
        <v>44</v>
      </c>
      <c r="L610" s="3">
        <v>3</v>
      </c>
      <c r="M610">
        <v>2</v>
      </c>
      <c r="N610">
        <v>2</v>
      </c>
      <c r="O610">
        <v>1</v>
      </c>
      <c r="P610" s="3">
        <v>1</v>
      </c>
      <c r="Q610" s="3">
        <v>3</v>
      </c>
      <c r="R610" s="3">
        <v>81611</v>
      </c>
    </row>
    <row r="611" spans="1:18" x14ac:dyDescent="0.25">
      <c r="A611" s="1">
        <v>60000607</v>
      </c>
      <c r="B611" s="3">
        <v>40</v>
      </c>
      <c r="C611" s="3">
        <v>1</v>
      </c>
      <c r="D611" s="3">
        <v>1</v>
      </c>
      <c r="E611" s="3">
        <v>6</v>
      </c>
      <c r="F611">
        <v>1</v>
      </c>
      <c r="G611" s="3">
        <v>33</v>
      </c>
      <c r="H611" s="3">
        <v>5</v>
      </c>
      <c r="I611" s="3">
        <v>8</v>
      </c>
      <c r="J611" s="3">
        <v>6</v>
      </c>
      <c r="K611" s="3">
        <v>8</v>
      </c>
      <c r="L611" s="3">
        <v>3</v>
      </c>
      <c r="M611">
        <v>2</v>
      </c>
      <c r="N611">
        <v>1</v>
      </c>
      <c r="O611">
        <v>2</v>
      </c>
      <c r="P611" s="3">
        <v>1</v>
      </c>
      <c r="Q611" s="3">
        <v>5</v>
      </c>
      <c r="R611" s="3">
        <v>48508</v>
      </c>
    </row>
    <row r="612" spans="1:18" x14ac:dyDescent="0.25">
      <c r="A612" s="1">
        <v>60000608</v>
      </c>
      <c r="B612" s="3">
        <v>29</v>
      </c>
      <c r="C612" s="3">
        <v>2</v>
      </c>
      <c r="D612" s="3">
        <v>2</v>
      </c>
      <c r="E612" s="3">
        <v>4</v>
      </c>
      <c r="F612">
        <v>1</v>
      </c>
      <c r="G612" s="3">
        <v>37</v>
      </c>
      <c r="H612" s="3">
        <v>5</v>
      </c>
      <c r="I612" s="3">
        <v>6</v>
      </c>
      <c r="J612" s="3">
        <v>1</v>
      </c>
      <c r="K612" s="3">
        <v>48</v>
      </c>
      <c r="L612" s="3">
        <v>3</v>
      </c>
      <c r="M612">
        <v>1</v>
      </c>
      <c r="N612">
        <v>2</v>
      </c>
      <c r="O612">
        <v>1</v>
      </c>
      <c r="P612" s="3">
        <v>2</v>
      </c>
      <c r="Q612" s="3">
        <v>0</v>
      </c>
      <c r="R612" s="3">
        <v>70933</v>
      </c>
    </row>
    <row r="613" spans="1:18" x14ac:dyDescent="0.25">
      <c r="A613" s="1">
        <v>60000609</v>
      </c>
      <c r="B613" s="3">
        <v>63</v>
      </c>
      <c r="C613" s="3">
        <v>2</v>
      </c>
      <c r="D613" s="3">
        <v>2</v>
      </c>
      <c r="E613" s="3">
        <v>6</v>
      </c>
      <c r="F613">
        <v>3</v>
      </c>
      <c r="G613" s="3">
        <v>25</v>
      </c>
      <c r="H613" s="3">
        <v>4</v>
      </c>
      <c r="I613" s="3">
        <v>5</v>
      </c>
      <c r="J613" s="3">
        <v>12</v>
      </c>
      <c r="K613" s="3">
        <v>16</v>
      </c>
      <c r="L613" s="3">
        <v>2</v>
      </c>
      <c r="M613">
        <v>2</v>
      </c>
      <c r="N613">
        <v>2</v>
      </c>
      <c r="O613">
        <v>1</v>
      </c>
      <c r="P613" s="3">
        <v>1</v>
      </c>
      <c r="Q613" s="3">
        <v>4</v>
      </c>
      <c r="R613" s="3">
        <v>48153</v>
      </c>
    </row>
    <row r="614" spans="1:18" x14ac:dyDescent="0.25">
      <c r="A614" s="1">
        <v>60000610</v>
      </c>
      <c r="B614" s="3">
        <v>42</v>
      </c>
      <c r="C614" s="3">
        <v>1</v>
      </c>
      <c r="D614" s="3">
        <v>1</v>
      </c>
      <c r="E614" s="3">
        <v>2</v>
      </c>
      <c r="F614">
        <v>1</v>
      </c>
      <c r="G614" s="3">
        <v>25</v>
      </c>
      <c r="H614" s="3">
        <v>4</v>
      </c>
      <c r="I614" s="3">
        <v>12</v>
      </c>
      <c r="J614" s="3">
        <v>9</v>
      </c>
      <c r="K614" s="3">
        <v>46</v>
      </c>
      <c r="L614" s="3">
        <v>3</v>
      </c>
      <c r="M614">
        <v>2</v>
      </c>
      <c r="N614">
        <v>2</v>
      </c>
      <c r="O614">
        <v>2</v>
      </c>
      <c r="P614" s="3">
        <v>2</v>
      </c>
      <c r="Q614" s="3">
        <v>0</v>
      </c>
      <c r="R614" s="3">
        <v>45766</v>
      </c>
    </row>
    <row r="615" spans="1:18" x14ac:dyDescent="0.25">
      <c r="A615" s="1">
        <v>60000611</v>
      </c>
      <c r="B615" s="3">
        <v>27</v>
      </c>
      <c r="C615" s="3">
        <v>1</v>
      </c>
      <c r="D615" s="3">
        <v>1</v>
      </c>
      <c r="E615" s="3">
        <v>5</v>
      </c>
      <c r="F615">
        <v>3</v>
      </c>
      <c r="G615" s="3">
        <v>12</v>
      </c>
      <c r="H615" s="3">
        <v>2</v>
      </c>
      <c r="I615" s="3">
        <v>5</v>
      </c>
      <c r="J615" s="3">
        <v>7</v>
      </c>
      <c r="K615" s="3">
        <v>31</v>
      </c>
      <c r="L615" s="3">
        <v>1</v>
      </c>
      <c r="M615">
        <v>1</v>
      </c>
      <c r="N615">
        <v>2</v>
      </c>
      <c r="O615">
        <v>1</v>
      </c>
      <c r="P615" s="3">
        <v>1</v>
      </c>
      <c r="Q615" s="3">
        <v>2</v>
      </c>
      <c r="R615" s="3">
        <v>28478</v>
      </c>
    </row>
    <row r="616" spans="1:18" x14ac:dyDescent="0.25">
      <c r="A616" s="1">
        <v>60000612</v>
      </c>
      <c r="B616" s="3">
        <v>64</v>
      </c>
      <c r="C616" s="3">
        <v>1</v>
      </c>
      <c r="D616" s="3">
        <v>1</v>
      </c>
      <c r="E616" s="3">
        <v>12</v>
      </c>
      <c r="F616">
        <v>1</v>
      </c>
      <c r="G616" s="3">
        <v>23</v>
      </c>
      <c r="H616" s="3">
        <v>3</v>
      </c>
      <c r="I616" s="3">
        <v>16</v>
      </c>
      <c r="J616" s="3">
        <v>10</v>
      </c>
      <c r="K616" s="3">
        <v>36</v>
      </c>
      <c r="L616" s="3">
        <v>3</v>
      </c>
      <c r="M616">
        <v>2</v>
      </c>
      <c r="N616">
        <v>1</v>
      </c>
      <c r="O616">
        <v>2</v>
      </c>
      <c r="P616" s="3">
        <v>1</v>
      </c>
      <c r="Q616" s="3">
        <v>5</v>
      </c>
      <c r="R616" s="3">
        <v>69741</v>
      </c>
    </row>
    <row r="617" spans="1:18" x14ac:dyDescent="0.25">
      <c r="A617" s="1">
        <v>60000613</v>
      </c>
      <c r="B617" s="3">
        <v>43</v>
      </c>
      <c r="C617" s="3">
        <v>2</v>
      </c>
      <c r="D617" s="3">
        <v>1</v>
      </c>
      <c r="E617" s="3">
        <v>10</v>
      </c>
      <c r="F617">
        <v>1</v>
      </c>
      <c r="G617" s="3">
        <v>33</v>
      </c>
      <c r="H617" s="3">
        <v>5</v>
      </c>
      <c r="I617" s="3">
        <v>9</v>
      </c>
      <c r="J617" s="3">
        <v>5</v>
      </c>
      <c r="K617" s="3">
        <v>40</v>
      </c>
      <c r="L617" s="3">
        <v>2</v>
      </c>
      <c r="M617">
        <v>1</v>
      </c>
      <c r="N617">
        <v>2</v>
      </c>
      <c r="O617">
        <v>2</v>
      </c>
      <c r="P617" s="3">
        <v>2</v>
      </c>
      <c r="Q617" s="3">
        <v>0</v>
      </c>
      <c r="R617" s="3">
        <v>58015</v>
      </c>
    </row>
    <row r="618" spans="1:18" x14ac:dyDescent="0.25">
      <c r="A618" s="1">
        <v>60000614</v>
      </c>
      <c r="B618" s="3">
        <v>31</v>
      </c>
      <c r="C618" s="3">
        <v>1</v>
      </c>
      <c r="D618" s="3">
        <v>2</v>
      </c>
      <c r="E618" s="3">
        <v>5</v>
      </c>
      <c r="F618">
        <v>3</v>
      </c>
      <c r="G618" s="3">
        <v>10</v>
      </c>
      <c r="H618" s="3">
        <v>1</v>
      </c>
      <c r="I618" s="3">
        <v>9</v>
      </c>
      <c r="J618" s="3">
        <v>11</v>
      </c>
      <c r="K618" s="3">
        <v>15</v>
      </c>
      <c r="L618" s="3">
        <v>3</v>
      </c>
      <c r="M618">
        <v>2</v>
      </c>
      <c r="N618">
        <v>2</v>
      </c>
      <c r="O618">
        <v>2</v>
      </c>
      <c r="P618" s="3">
        <v>1</v>
      </c>
      <c r="Q618" s="3">
        <v>6</v>
      </c>
      <c r="R618" s="3">
        <v>68263</v>
      </c>
    </row>
    <row r="619" spans="1:18" x14ac:dyDescent="0.25">
      <c r="A619" s="1">
        <v>60000615</v>
      </c>
      <c r="B619" s="3">
        <v>34</v>
      </c>
      <c r="C619" s="3">
        <v>2</v>
      </c>
      <c r="D619" s="3">
        <v>2</v>
      </c>
      <c r="E619" s="3">
        <v>3</v>
      </c>
      <c r="F619">
        <v>3</v>
      </c>
      <c r="G619" s="3">
        <v>23</v>
      </c>
      <c r="H619" s="3">
        <v>3</v>
      </c>
      <c r="I619" s="3">
        <v>6</v>
      </c>
      <c r="J619" s="3">
        <v>1</v>
      </c>
      <c r="K619" s="3">
        <v>41</v>
      </c>
      <c r="L619" s="3">
        <v>2</v>
      </c>
      <c r="M619">
        <v>2</v>
      </c>
      <c r="N619">
        <v>2</v>
      </c>
      <c r="O619">
        <v>1</v>
      </c>
      <c r="P619" s="3">
        <v>2</v>
      </c>
      <c r="Q619" s="3">
        <v>0</v>
      </c>
      <c r="R619" s="3">
        <v>34109</v>
      </c>
    </row>
    <row r="620" spans="1:18" x14ac:dyDescent="0.25">
      <c r="A620" s="1">
        <v>60000616</v>
      </c>
      <c r="B620" s="3">
        <v>61</v>
      </c>
      <c r="C620" s="3">
        <v>2</v>
      </c>
      <c r="D620" s="3">
        <v>1</v>
      </c>
      <c r="E620" s="3">
        <v>2</v>
      </c>
      <c r="F620">
        <v>2</v>
      </c>
      <c r="G620" s="3">
        <v>17</v>
      </c>
      <c r="H620" s="3">
        <v>2</v>
      </c>
      <c r="I620" s="3">
        <v>7</v>
      </c>
      <c r="J620" s="3">
        <v>7</v>
      </c>
      <c r="K620" s="3">
        <v>44</v>
      </c>
      <c r="L620" s="3">
        <v>1</v>
      </c>
      <c r="M620">
        <v>2</v>
      </c>
      <c r="N620">
        <v>1</v>
      </c>
      <c r="O620">
        <v>2</v>
      </c>
      <c r="P620" s="3">
        <v>1</v>
      </c>
      <c r="Q620" s="3">
        <v>3</v>
      </c>
      <c r="R620" s="3">
        <v>64964</v>
      </c>
    </row>
    <row r="621" spans="1:18" x14ac:dyDescent="0.25">
      <c r="A621" s="1">
        <v>60000617</v>
      </c>
      <c r="B621" s="3">
        <v>47</v>
      </c>
      <c r="C621" s="3">
        <v>1</v>
      </c>
      <c r="D621" s="3">
        <v>2</v>
      </c>
      <c r="E621" s="3">
        <v>2</v>
      </c>
      <c r="F621">
        <v>1</v>
      </c>
      <c r="G621" s="3">
        <v>22</v>
      </c>
      <c r="H621" s="3">
        <v>3</v>
      </c>
      <c r="I621" s="3">
        <v>2</v>
      </c>
      <c r="J621" s="3">
        <v>11</v>
      </c>
      <c r="K621" s="3">
        <v>21</v>
      </c>
      <c r="L621" s="3">
        <v>3</v>
      </c>
      <c r="M621">
        <v>2</v>
      </c>
      <c r="N621">
        <v>1</v>
      </c>
      <c r="O621">
        <v>1</v>
      </c>
      <c r="P621" s="3">
        <v>1</v>
      </c>
      <c r="Q621" s="3">
        <v>5</v>
      </c>
      <c r="R621" s="3">
        <v>30063</v>
      </c>
    </row>
    <row r="622" spans="1:18" x14ac:dyDescent="0.25">
      <c r="A622" s="1">
        <v>60000618</v>
      </c>
      <c r="B622" s="3">
        <v>34</v>
      </c>
      <c r="C622" s="3">
        <v>2</v>
      </c>
      <c r="D622" s="3">
        <v>1</v>
      </c>
      <c r="E622" s="3">
        <v>2</v>
      </c>
      <c r="F622">
        <v>3</v>
      </c>
      <c r="G622" s="3">
        <v>21</v>
      </c>
      <c r="H622" s="3">
        <v>3</v>
      </c>
      <c r="I622" s="3">
        <v>15</v>
      </c>
      <c r="J622" s="3">
        <v>7</v>
      </c>
      <c r="K622" s="3">
        <v>50</v>
      </c>
      <c r="L622" s="3">
        <v>2</v>
      </c>
      <c r="M622">
        <v>2</v>
      </c>
      <c r="N622">
        <v>1</v>
      </c>
      <c r="O622">
        <v>2</v>
      </c>
      <c r="P622" s="3">
        <v>1</v>
      </c>
      <c r="Q622" s="3">
        <v>5</v>
      </c>
      <c r="R622" s="3">
        <v>59660</v>
      </c>
    </row>
    <row r="623" spans="1:18" x14ac:dyDescent="0.25">
      <c r="A623" s="1">
        <v>60000619</v>
      </c>
      <c r="B623" s="3">
        <v>49</v>
      </c>
      <c r="C623" s="3">
        <v>2</v>
      </c>
      <c r="D623" s="3">
        <v>2</v>
      </c>
      <c r="E623" s="3">
        <v>5</v>
      </c>
      <c r="F623">
        <v>3</v>
      </c>
      <c r="G623" s="3">
        <v>20</v>
      </c>
      <c r="H623" s="3">
        <v>3</v>
      </c>
      <c r="I623" s="3">
        <v>12</v>
      </c>
      <c r="J623" s="3">
        <v>10</v>
      </c>
      <c r="K623" s="3">
        <v>10</v>
      </c>
      <c r="L623" s="3">
        <v>1</v>
      </c>
      <c r="M623">
        <v>1</v>
      </c>
      <c r="N623">
        <v>2</v>
      </c>
      <c r="O623">
        <v>2</v>
      </c>
      <c r="P623" s="3">
        <v>2</v>
      </c>
      <c r="Q623" s="3">
        <v>0</v>
      </c>
      <c r="R623" s="3">
        <v>31515</v>
      </c>
    </row>
    <row r="624" spans="1:18" x14ac:dyDescent="0.25">
      <c r="A624" s="1">
        <v>60000620</v>
      </c>
      <c r="B624" s="3">
        <v>52</v>
      </c>
      <c r="C624" s="3">
        <v>1</v>
      </c>
      <c r="D624" s="3">
        <v>1</v>
      </c>
      <c r="E624" s="3">
        <v>3</v>
      </c>
      <c r="F624">
        <v>2</v>
      </c>
      <c r="G624" s="3">
        <v>25</v>
      </c>
      <c r="H624" s="3">
        <v>4</v>
      </c>
      <c r="I624" s="3">
        <v>5</v>
      </c>
      <c r="J624" s="3">
        <v>9</v>
      </c>
      <c r="K624" s="3">
        <v>19</v>
      </c>
      <c r="L624" s="3">
        <v>2</v>
      </c>
      <c r="M624">
        <v>2</v>
      </c>
      <c r="N624">
        <v>2</v>
      </c>
      <c r="O624">
        <v>2</v>
      </c>
      <c r="P624" s="3">
        <v>2</v>
      </c>
      <c r="Q624" s="3">
        <v>0</v>
      </c>
      <c r="R624" s="3">
        <v>78579</v>
      </c>
    </row>
    <row r="625" spans="1:18" x14ac:dyDescent="0.25">
      <c r="A625" s="1">
        <v>60000621</v>
      </c>
      <c r="B625" s="3">
        <v>36</v>
      </c>
      <c r="C625" s="3">
        <v>2</v>
      </c>
      <c r="D625" s="3">
        <v>1</v>
      </c>
      <c r="E625" s="3">
        <v>6</v>
      </c>
      <c r="F625">
        <v>3</v>
      </c>
      <c r="G625" s="3">
        <v>10</v>
      </c>
      <c r="H625" s="3">
        <v>1</v>
      </c>
      <c r="I625" s="3">
        <v>10</v>
      </c>
      <c r="J625" s="3">
        <v>8</v>
      </c>
      <c r="K625" s="3">
        <v>35</v>
      </c>
      <c r="L625" s="3">
        <v>2</v>
      </c>
      <c r="M625">
        <v>1</v>
      </c>
      <c r="N625">
        <v>1</v>
      </c>
      <c r="O625">
        <v>2</v>
      </c>
      <c r="P625" s="3">
        <v>2</v>
      </c>
      <c r="Q625" s="3">
        <v>0</v>
      </c>
      <c r="R625" s="3">
        <v>29705</v>
      </c>
    </row>
    <row r="626" spans="1:18" x14ac:dyDescent="0.25">
      <c r="A626" s="1">
        <v>60000622</v>
      </c>
      <c r="B626" s="3">
        <v>22</v>
      </c>
      <c r="C626" s="3">
        <v>2</v>
      </c>
      <c r="D626" s="3">
        <v>2</v>
      </c>
      <c r="E626" s="3">
        <v>9</v>
      </c>
      <c r="F626">
        <v>3</v>
      </c>
      <c r="G626" s="3">
        <v>25</v>
      </c>
      <c r="H626" s="3">
        <v>4</v>
      </c>
      <c r="I626" s="3">
        <v>2</v>
      </c>
      <c r="J626" s="3">
        <v>12</v>
      </c>
      <c r="K626" s="3">
        <v>35</v>
      </c>
      <c r="L626" s="3">
        <v>1</v>
      </c>
      <c r="M626">
        <v>2</v>
      </c>
      <c r="N626">
        <v>1</v>
      </c>
      <c r="O626">
        <v>2</v>
      </c>
      <c r="P626" s="3">
        <v>2</v>
      </c>
      <c r="Q626" s="3">
        <v>0</v>
      </c>
      <c r="R626" s="3">
        <v>51214</v>
      </c>
    </row>
    <row r="627" spans="1:18" x14ac:dyDescent="0.25">
      <c r="A627" s="1">
        <v>60000623</v>
      </c>
      <c r="B627" s="3">
        <v>28</v>
      </c>
      <c r="C627" s="3">
        <v>1</v>
      </c>
      <c r="D627" s="3">
        <v>2</v>
      </c>
      <c r="E627" s="3">
        <v>10</v>
      </c>
      <c r="F627">
        <v>3</v>
      </c>
      <c r="G627" s="3">
        <v>25</v>
      </c>
      <c r="H627" s="3">
        <v>4</v>
      </c>
      <c r="I627" s="3">
        <v>15</v>
      </c>
      <c r="J627" s="3">
        <v>1</v>
      </c>
      <c r="K627" s="3">
        <v>46</v>
      </c>
      <c r="L627" s="3">
        <v>3</v>
      </c>
      <c r="M627">
        <v>2</v>
      </c>
      <c r="N627">
        <v>2</v>
      </c>
      <c r="O627">
        <v>2</v>
      </c>
      <c r="P627" s="3">
        <v>2</v>
      </c>
      <c r="Q627" s="3">
        <v>0</v>
      </c>
      <c r="R627" s="3">
        <v>57784</v>
      </c>
    </row>
    <row r="628" spans="1:18" x14ac:dyDescent="0.25">
      <c r="A628" s="1">
        <v>60000624</v>
      </c>
      <c r="B628" s="3">
        <v>56</v>
      </c>
      <c r="C628" s="3">
        <v>2</v>
      </c>
      <c r="D628" s="3">
        <v>2</v>
      </c>
      <c r="E628" s="3">
        <v>5</v>
      </c>
      <c r="F628">
        <v>2</v>
      </c>
      <c r="G628" s="3">
        <v>37</v>
      </c>
      <c r="H628" s="3">
        <v>5</v>
      </c>
      <c r="I628" s="3">
        <v>1</v>
      </c>
      <c r="J628" s="3">
        <v>11</v>
      </c>
      <c r="K628" s="3">
        <v>27</v>
      </c>
      <c r="L628" s="3">
        <v>2</v>
      </c>
      <c r="M628">
        <v>2</v>
      </c>
      <c r="N628">
        <v>2</v>
      </c>
      <c r="O628">
        <v>2</v>
      </c>
      <c r="P628" s="3">
        <v>1</v>
      </c>
      <c r="Q628" s="3">
        <v>0</v>
      </c>
      <c r="R628" s="3">
        <v>73339</v>
      </c>
    </row>
    <row r="629" spans="1:18" x14ac:dyDescent="0.25">
      <c r="A629" s="1">
        <v>60000625</v>
      </c>
      <c r="B629" s="3">
        <v>32</v>
      </c>
      <c r="C629" s="3">
        <v>1</v>
      </c>
      <c r="D629" s="3">
        <v>1</v>
      </c>
      <c r="E629" s="3">
        <v>12</v>
      </c>
      <c r="F629">
        <v>1</v>
      </c>
      <c r="G629" s="3">
        <v>34</v>
      </c>
      <c r="H629" s="3">
        <v>5</v>
      </c>
      <c r="I629" s="3">
        <v>5</v>
      </c>
      <c r="J629" s="3">
        <v>2</v>
      </c>
      <c r="K629" s="3">
        <v>40</v>
      </c>
      <c r="L629" s="3">
        <v>2</v>
      </c>
      <c r="M629">
        <v>1</v>
      </c>
      <c r="N629">
        <v>1</v>
      </c>
      <c r="O629">
        <v>1</v>
      </c>
      <c r="P629" s="3">
        <v>1</v>
      </c>
      <c r="Q629" s="3">
        <v>4</v>
      </c>
      <c r="R629" s="3">
        <v>41052</v>
      </c>
    </row>
    <row r="630" spans="1:18" x14ac:dyDescent="0.25">
      <c r="A630" s="1">
        <v>60000626</v>
      </c>
      <c r="B630" s="3">
        <v>62</v>
      </c>
      <c r="C630" s="3">
        <v>1</v>
      </c>
      <c r="D630" s="3">
        <v>1</v>
      </c>
      <c r="E630" s="3">
        <v>2</v>
      </c>
      <c r="F630">
        <v>2</v>
      </c>
      <c r="G630" s="3">
        <v>24</v>
      </c>
      <c r="H630" s="3">
        <v>3</v>
      </c>
      <c r="I630" s="3">
        <v>8</v>
      </c>
      <c r="J630" s="3">
        <v>2</v>
      </c>
      <c r="K630" s="3">
        <v>44</v>
      </c>
      <c r="L630" s="3">
        <v>1</v>
      </c>
      <c r="M630">
        <v>2</v>
      </c>
      <c r="N630">
        <v>2</v>
      </c>
      <c r="O630">
        <v>1</v>
      </c>
      <c r="P630" s="3">
        <v>1</v>
      </c>
      <c r="Q630" s="3">
        <v>4</v>
      </c>
      <c r="R630" s="3">
        <v>75161</v>
      </c>
    </row>
    <row r="631" spans="1:18" x14ac:dyDescent="0.25">
      <c r="A631" s="1">
        <v>60000627</v>
      </c>
      <c r="B631" s="3">
        <v>52</v>
      </c>
      <c r="C631" s="3">
        <v>2</v>
      </c>
      <c r="D631" s="3">
        <v>1</v>
      </c>
      <c r="E631" s="3">
        <v>6</v>
      </c>
      <c r="F631">
        <v>1</v>
      </c>
      <c r="G631" s="3">
        <v>19</v>
      </c>
      <c r="H631" s="3">
        <v>3</v>
      </c>
      <c r="I631" s="3">
        <v>8</v>
      </c>
      <c r="J631" s="3">
        <v>2</v>
      </c>
      <c r="K631" s="3">
        <v>26</v>
      </c>
      <c r="L631" s="3">
        <v>1</v>
      </c>
      <c r="M631">
        <v>2</v>
      </c>
      <c r="N631">
        <v>1</v>
      </c>
      <c r="O631">
        <v>1</v>
      </c>
      <c r="P631" s="3">
        <v>1</v>
      </c>
      <c r="Q631" s="3">
        <v>7</v>
      </c>
      <c r="R631" s="3">
        <v>69835</v>
      </c>
    </row>
    <row r="632" spans="1:18" x14ac:dyDescent="0.25">
      <c r="A632" s="1">
        <v>60000628</v>
      </c>
      <c r="B632" s="3">
        <v>30</v>
      </c>
      <c r="C632" s="3">
        <v>2</v>
      </c>
      <c r="D632" s="3">
        <v>1</v>
      </c>
      <c r="E632" s="3">
        <v>11</v>
      </c>
      <c r="F632">
        <v>1</v>
      </c>
      <c r="G632" s="3">
        <v>11</v>
      </c>
      <c r="H632" s="3">
        <v>1</v>
      </c>
      <c r="I632" s="3">
        <v>17</v>
      </c>
      <c r="J632" s="3">
        <v>12</v>
      </c>
      <c r="K632" s="3">
        <v>28</v>
      </c>
      <c r="L632" s="3">
        <v>2</v>
      </c>
      <c r="M632">
        <v>2</v>
      </c>
      <c r="N632">
        <v>1</v>
      </c>
      <c r="O632">
        <v>1</v>
      </c>
      <c r="P632" s="3">
        <v>2</v>
      </c>
      <c r="Q632" s="3">
        <v>0</v>
      </c>
      <c r="R632" s="3">
        <v>47676</v>
      </c>
    </row>
    <row r="633" spans="1:18" x14ac:dyDescent="0.25">
      <c r="A633" s="1">
        <v>60000629</v>
      </c>
      <c r="B633" s="3">
        <v>58</v>
      </c>
      <c r="C633" s="3">
        <v>1</v>
      </c>
      <c r="D633" s="3">
        <v>1</v>
      </c>
      <c r="E633" s="3">
        <v>6</v>
      </c>
      <c r="F633">
        <v>2</v>
      </c>
      <c r="G633" s="3">
        <v>24</v>
      </c>
      <c r="H633" s="3">
        <v>3</v>
      </c>
      <c r="I633" s="3">
        <v>3</v>
      </c>
      <c r="J633" s="3">
        <v>2</v>
      </c>
      <c r="K633" s="3">
        <v>23</v>
      </c>
      <c r="L633" s="3">
        <v>1</v>
      </c>
      <c r="M633">
        <v>1</v>
      </c>
      <c r="N633">
        <v>1</v>
      </c>
      <c r="O633">
        <v>2</v>
      </c>
      <c r="P633" s="3">
        <v>1</v>
      </c>
      <c r="Q633" s="3">
        <v>0</v>
      </c>
      <c r="R633" s="3">
        <v>74278</v>
      </c>
    </row>
    <row r="634" spans="1:18" x14ac:dyDescent="0.25">
      <c r="A634" s="1">
        <v>60000630</v>
      </c>
      <c r="B634" s="3">
        <v>56</v>
      </c>
      <c r="C634" s="3">
        <v>1</v>
      </c>
      <c r="D634" s="3">
        <v>2</v>
      </c>
      <c r="E634" s="3">
        <v>2</v>
      </c>
      <c r="F634">
        <v>3</v>
      </c>
      <c r="G634" s="3">
        <v>37</v>
      </c>
      <c r="H634" s="3">
        <v>5</v>
      </c>
      <c r="I634" s="3">
        <v>10</v>
      </c>
      <c r="J634" s="3">
        <v>4</v>
      </c>
      <c r="K634" s="3">
        <v>29</v>
      </c>
      <c r="L634" s="3">
        <v>2</v>
      </c>
      <c r="M634">
        <v>2</v>
      </c>
      <c r="N634">
        <v>2</v>
      </c>
      <c r="O634">
        <v>2</v>
      </c>
      <c r="P634" s="3">
        <v>1</v>
      </c>
      <c r="Q634" s="3">
        <v>3</v>
      </c>
      <c r="R634" s="3">
        <v>43875</v>
      </c>
    </row>
    <row r="635" spans="1:18" x14ac:dyDescent="0.25">
      <c r="A635" s="1">
        <v>60000631</v>
      </c>
      <c r="B635" s="3">
        <v>27</v>
      </c>
      <c r="C635" s="3">
        <v>1</v>
      </c>
      <c r="D635" s="3">
        <v>2</v>
      </c>
      <c r="E635" s="3">
        <v>4</v>
      </c>
      <c r="F635">
        <v>1</v>
      </c>
      <c r="G635" s="3">
        <v>37</v>
      </c>
      <c r="H635" s="3">
        <v>5</v>
      </c>
      <c r="I635" s="3">
        <v>10</v>
      </c>
      <c r="J635" s="3">
        <v>7</v>
      </c>
      <c r="K635" s="3">
        <v>4</v>
      </c>
      <c r="L635" s="3">
        <v>2</v>
      </c>
      <c r="M635">
        <v>1</v>
      </c>
      <c r="N635">
        <v>1</v>
      </c>
      <c r="O635">
        <v>2</v>
      </c>
      <c r="P635" s="3">
        <v>1</v>
      </c>
      <c r="Q635" s="3">
        <v>6</v>
      </c>
      <c r="R635" s="3">
        <v>43891</v>
      </c>
    </row>
    <row r="636" spans="1:18" x14ac:dyDescent="0.25">
      <c r="A636" s="1">
        <v>60000632</v>
      </c>
      <c r="B636" s="3">
        <v>58</v>
      </c>
      <c r="C636" s="3">
        <v>2</v>
      </c>
      <c r="D636" s="3">
        <v>1</v>
      </c>
      <c r="E636" s="3">
        <v>2</v>
      </c>
      <c r="F636">
        <v>2</v>
      </c>
      <c r="G636" s="3">
        <v>23</v>
      </c>
      <c r="H636" s="3">
        <v>3</v>
      </c>
      <c r="I636" s="3">
        <v>10</v>
      </c>
      <c r="J636" s="3">
        <v>10</v>
      </c>
      <c r="K636" s="3">
        <v>42</v>
      </c>
      <c r="L636" s="3">
        <v>2</v>
      </c>
      <c r="M636">
        <v>2</v>
      </c>
      <c r="N636">
        <v>2</v>
      </c>
      <c r="O636">
        <v>2</v>
      </c>
      <c r="P636" s="3">
        <v>2</v>
      </c>
      <c r="Q636" s="3">
        <v>0</v>
      </c>
      <c r="R636" s="3">
        <v>55861</v>
      </c>
    </row>
    <row r="637" spans="1:18" x14ac:dyDescent="0.25">
      <c r="A637" s="1">
        <v>60000633</v>
      </c>
      <c r="B637" s="3">
        <v>25</v>
      </c>
      <c r="C637" s="3">
        <v>2</v>
      </c>
      <c r="D637" s="3">
        <v>1</v>
      </c>
      <c r="E637" s="3">
        <v>4</v>
      </c>
      <c r="F637">
        <v>2</v>
      </c>
      <c r="G637" s="3">
        <v>36</v>
      </c>
      <c r="H637" s="3">
        <v>5</v>
      </c>
      <c r="I637" s="3">
        <v>11</v>
      </c>
      <c r="J637" s="3">
        <v>2</v>
      </c>
      <c r="K637" s="3">
        <v>5</v>
      </c>
      <c r="L637" s="3">
        <v>1</v>
      </c>
      <c r="M637">
        <v>1</v>
      </c>
      <c r="N637">
        <v>2</v>
      </c>
      <c r="O637">
        <v>1</v>
      </c>
      <c r="P637" s="3">
        <v>1</v>
      </c>
      <c r="Q637" s="3">
        <v>3</v>
      </c>
      <c r="R637" s="3">
        <v>74572</v>
      </c>
    </row>
    <row r="638" spans="1:18" x14ac:dyDescent="0.25">
      <c r="A638" s="1">
        <v>60000634</v>
      </c>
      <c r="B638" s="3">
        <v>28</v>
      </c>
      <c r="C638" s="3">
        <v>1</v>
      </c>
      <c r="D638" s="3">
        <v>2</v>
      </c>
      <c r="E638" s="3">
        <v>6</v>
      </c>
      <c r="F638">
        <v>3</v>
      </c>
      <c r="G638" s="3">
        <v>15</v>
      </c>
      <c r="H638" s="3">
        <v>2</v>
      </c>
      <c r="I638" s="3">
        <v>16</v>
      </c>
      <c r="J638" s="3">
        <v>5</v>
      </c>
      <c r="K638" s="3">
        <v>40</v>
      </c>
      <c r="L638" s="3">
        <v>1</v>
      </c>
      <c r="M638">
        <v>2</v>
      </c>
      <c r="N638">
        <v>1</v>
      </c>
      <c r="O638">
        <v>1</v>
      </c>
      <c r="P638" s="3">
        <v>2</v>
      </c>
      <c r="Q638" s="3">
        <v>0</v>
      </c>
      <c r="R638" s="3">
        <v>75919</v>
      </c>
    </row>
  </sheetData>
  <mergeCells count="2">
    <mergeCell ref="A1:N1"/>
    <mergeCell ref="A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54"/>
  <sheetViews>
    <sheetView topLeftCell="A41" workbookViewId="0">
      <selection activeCell="E6" sqref="E6"/>
    </sheetView>
  </sheetViews>
  <sheetFormatPr baseColWidth="10" defaultColWidth="11.42578125" defaultRowHeight="15" x14ac:dyDescent="0.25"/>
  <cols>
    <col min="2" max="2" width="5.85546875" customWidth="1"/>
    <col min="3" max="3" width="34.42578125" customWidth="1"/>
  </cols>
  <sheetData>
    <row r="1" spans="2:3" ht="15.75" thickBot="1" x14ac:dyDescent="0.3">
      <c r="B1" s="35" t="s">
        <v>79</v>
      </c>
      <c r="C1" s="36"/>
    </row>
    <row r="2" spans="2:3" x14ac:dyDescent="0.25">
      <c r="B2" s="8">
        <v>1</v>
      </c>
      <c r="C2" s="9" t="s">
        <v>85</v>
      </c>
    </row>
    <row r="3" spans="2:3" ht="15.75" thickBot="1" x14ac:dyDescent="0.3">
      <c r="B3" s="10">
        <v>2</v>
      </c>
      <c r="C3" s="11" t="s">
        <v>86</v>
      </c>
    </row>
    <row r="4" spans="2:3" x14ac:dyDescent="0.25">
      <c r="B4" s="19"/>
    </row>
    <row r="7" spans="2:3" ht="15.75" thickBot="1" x14ac:dyDescent="0.3">
      <c r="B7" s="35" t="s">
        <v>1</v>
      </c>
      <c r="C7" s="36"/>
    </row>
    <row r="8" spans="2:3" x14ac:dyDescent="0.25">
      <c r="B8" s="12">
        <v>1</v>
      </c>
      <c r="C8" s="9" t="s">
        <v>87</v>
      </c>
    </row>
    <row r="9" spans="2:3" ht="15.75" thickBot="1" x14ac:dyDescent="0.3">
      <c r="B9" s="13">
        <v>2</v>
      </c>
      <c r="C9" s="11" t="s">
        <v>88</v>
      </c>
    </row>
    <row r="12" spans="2:3" ht="15.75" thickBot="1" x14ac:dyDescent="0.3">
      <c r="B12" s="35" t="s">
        <v>89</v>
      </c>
      <c r="C12" s="36"/>
    </row>
    <row r="13" spans="2:3" x14ac:dyDescent="0.25">
      <c r="B13" s="12">
        <v>1</v>
      </c>
      <c r="C13" s="9" t="s">
        <v>90</v>
      </c>
    </row>
    <row r="14" spans="2:3" x14ac:dyDescent="0.25">
      <c r="B14" s="14">
        <v>2</v>
      </c>
      <c r="C14" s="15" t="s">
        <v>93</v>
      </c>
    </row>
    <row r="15" spans="2:3" x14ac:dyDescent="0.25">
      <c r="B15" s="14">
        <v>3</v>
      </c>
      <c r="C15" s="15" t="s">
        <v>91</v>
      </c>
    </row>
    <row r="16" spans="2:3" x14ac:dyDescent="0.25">
      <c r="B16" s="14">
        <v>4</v>
      </c>
      <c r="C16" s="15" t="s">
        <v>92</v>
      </c>
    </row>
    <row r="17" spans="2:3" x14ac:dyDescent="0.25">
      <c r="B17" s="14">
        <v>5</v>
      </c>
      <c r="C17" s="15" t="s">
        <v>94</v>
      </c>
    </row>
    <row r="18" spans="2:3" x14ac:dyDescent="0.25">
      <c r="B18" s="14">
        <v>6</v>
      </c>
      <c r="C18" s="15" t="s">
        <v>95</v>
      </c>
    </row>
    <row r="19" spans="2:3" x14ac:dyDescent="0.25">
      <c r="B19" s="14">
        <v>7</v>
      </c>
      <c r="C19" s="15" t="s">
        <v>99</v>
      </c>
    </row>
    <row r="20" spans="2:3" x14ac:dyDescent="0.25">
      <c r="B20" s="14">
        <v>8</v>
      </c>
      <c r="C20" s="15" t="s">
        <v>96</v>
      </c>
    </row>
    <row r="21" spans="2:3" x14ac:dyDescent="0.25">
      <c r="B21" s="14">
        <v>9</v>
      </c>
      <c r="C21" s="15" t="s">
        <v>97</v>
      </c>
    </row>
    <row r="22" spans="2:3" x14ac:dyDescent="0.25">
      <c r="B22" s="14">
        <v>10</v>
      </c>
      <c r="C22" s="15" t="s">
        <v>98</v>
      </c>
    </row>
    <row r="23" spans="2:3" x14ac:dyDescent="0.25">
      <c r="B23" s="14">
        <v>11</v>
      </c>
      <c r="C23" s="15" t="s">
        <v>100</v>
      </c>
    </row>
    <row r="24" spans="2:3" ht="15.75" thickBot="1" x14ac:dyDescent="0.3">
      <c r="B24" s="13">
        <v>12</v>
      </c>
      <c r="C24" s="11" t="s">
        <v>5</v>
      </c>
    </row>
    <row r="27" spans="2:3" ht="15.75" thickBot="1" x14ac:dyDescent="0.3">
      <c r="B27" s="35" t="s">
        <v>101</v>
      </c>
      <c r="C27" s="36"/>
    </row>
    <row r="28" spans="2:3" x14ac:dyDescent="0.25">
      <c r="B28" s="12">
        <v>1</v>
      </c>
      <c r="C28" s="9" t="s">
        <v>102</v>
      </c>
    </row>
    <row r="29" spans="2:3" x14ac:dyDescent="0.25">
      <c r="B29" s="14">
        <v>2</v>
      </c>
      <c r="C29" s="15" t="s">
        <v>103</v>
      </c>
    </row>
    <row r="30" spans="2:3" ht="15.75" thickBot="1" x14ac:dyDescent="0.3">
      <c r="B30" s="13">
        <v>3</v>
      </c>
      <c r="C30" s="11" t="s">
        <v>104</v>
      </c>
    </row>
    <row r="33" spans="2:3" ht="15.75" thickBot="1" x14ac:dyDescent="0.3">
      <c r="B33" s="35" t="s">
        <v>107</v>
      </c>
      <c r="C33" s="36"/>
    </row>
    <row r="34" spans="2:3" x14ac:dyDescent="0.25">
      <c r="B34" s="12">
        <v>1</v>
      </c>
      <c r="C34" s="9" t="s">
        <v>108</v>
      </c>
    </row>
    <row r="35" spans="2:3" x14ac:dyDescent="0.25">
      <c r="B35" s="14">
        <v>2</v>
      </c>
      <c r="C35" s="15" t="s">
        <v>132</v>
      </c>
    </row>
    <row r="36" spans="2:3" x14ac:dyDescent="0.25">
      <c r="B36" s="14">
        <v>3</v>
      </c>
      <c r="C36" s="15" t="s">
        <v>109</v>
      </c>
    </row>
    <row r="37" spans="2:3" x14ac:dyDescent="0.25">
      <c r="B37" s="14">
        <v>4</v>
      </c>
      <c r="C37" s="15" t="s">
        <v>110</v>
      </c>
    </row>
    <row r="38" spans="2:3" ht="15.75" thickBot="1" x14ac:dyDescent="0.3">
      <c r="B38" s="13">
        <v>5</v>
      </c>
      <c r="C38" s="11" t="s">
        <v>111</v>
      </c>
    </row>
    <row r="41" spans="2:3" ht="15.75" thickBot="1" x14ac:dyDescent="0.3">
      <c r="B41" s="35" t="s">
        <v>112</v>
      </c>
      <c r="C41" s="36"/>
    </row>
    <row r="42" spans="2:3" x14ac:dyDescent="0.25">
      <c r="B42" s="12">
        <v>1</v>
      </c>
      <c r="C42" s="9" t="s">
        <v>133</v>
      </c>
    </row>
    <row r="43" spans="2:3" x14ac:dyDescent="0.25">
      <c r="B43" s="14">
        <v>2</v>
      </c>
      <c r="C43" s="15" t="s">
        <v>114</v>
      </c>
    </row>
    <row r="44" spans="2:3" x14ac:dyDescent="0.25">
      <c r="B44" s="14">
        <v>3</v>
      </c>
      <c r="C44" s="15" t="s">
        <v>115</v>
      </c>
    </row>
    <row r="45" spans="2:3" x14ac:dyDescent="0.25">
      <c r="B45" s="14">
        <v>4</v>
      </c>
      <c r="C45" s="15" t="s">
        <v>113</v>
      </c>
    </row>
    <row r="46" spans="2:3" x14ac:dyDescent="0.25">
      <c r="B46" s="14">
        <v>5</v>
      </c>
      <c r="C46" s="15" t="s">
        <v>116</v>
      </c>
    </row>
    <row r="47" spans="2:3" x14ac:dyDescent="0.25">
      <c r="B47" s="14">
        <v>6</v>
      </c>
      <c r="C47" s="15" t="s">
        <v>117</v>
      </c>
    </row>
    <row r="48" spans="2:3" x14ac:dyDescent="0.25">
      <c r="B48" s="14">
        <v>7</v>
      </c>
      <c r="C48" s="15" t="s">
        <v>50</v>
      </c>
    </row>
    <row r="49" spans="2:3" x14ac:dyDescent="0.25">
      <c r="B49" s="14">
        <v>8</v>
      </c>
      <c r="C49" s="15" t="s">
        <v>55</v>
      </c>
    </row>
    <row r="50" spans="2:3" x14ac:dyDescent="0.25">
      <c r="B50" s="14">
        <v>9</v>
      </c>
      <c r="C50" s="15" t="s">
        <v>118</v>
      </c>
    </row>
    <row r="51" spans="2:3" x14ac:dyDescent="0.25">
      <c r="B51" s="14">
        <v>10</v>
      </c>
      <c r="C51" s="15" t="s">
        <v>119</v>
      </c>
    </row>
    <row r="52" spans="2:3" x14ac:dyDescent="0.25">
      <c r="B52" s="14">
        <v>11</v>
      </c>
      <c r="C52" s="15" t="s">
        <v>122</v>
      </c>
    </row>
    <row r="53" spans="2:3" x14ac:dyDescent="0.25">
      <c r="B53" s="14">
        <v>12</v>
      </c>
      <c r="C53" s="15" t="s">
        <v>126</v>
      </c>
    </row>
    <row r="54" spans="2:3" x14ac:dyDescent="0.25">
      <c r="B54" s="14">
        <v>13</v>
      </c>
      <c r="C54" s="15" t="s">
        <v>120</v>
      </c>
    </row>
    <row r="55" spans="2:3" x14ac:dyDescent="0.25">
      <c r="B55" s="14">
        <v>14</v>
      </c>
      <c r="C55" s="15" t="s">
        <v>121</v>
      </c>
    </row>
    <row r="56" spans="2:3" x14ac:dyDescent="0.25">
      <c r="B56" s="14">
        <v>15</v>
      </c>
      <c r="C56" s="15" t="s">
        <v>123</v>
      </c>
    </row>
    <row r="57" spans="2:3" x14ac:dyDescent="0.25">
      <c r="B57" s="14">
        <v>16</v>
      </c>
      <c r="C57" s="15" t="s">
        <v>124</v>
      </c>
    </row>
    <row r="58" spans="2:3" ht="15.75" thickBot="1" x14ac:dyDescent="0.3">
      <c r="B58" s="13">
        <v>17</v>
      </c>
      <c r="C58" s="11" t="s">
        <v>125</v>
      </c>
    </row>
    <row r="61" spans="2:3" ht="15.75" thickBot="1" x14ac:dyDescent="0.3">
      <c r="B61" s="35" t="s">
        <v>3</v>
      </c>
      <c r="C61" s="36"/>
    </row>
    <row r="62" spans="2:3" x14ac:dyDescent="0.25">
      <c r="B62" s="12">
        <v>1</v>
      </c>
      <c r="C62" s="16" t="s">
        <v>53</v>
      </c>
    </row>
    <row r="63" spans="2:3" x14ac:dyDescent="0.25">
      <c r="B63" s="14">
        <v>2</v>
      </c>
      <c r="C63" s="17" t="s">
        <v>14</v>
      </c>
    </row>
    <row r="64" spans="2:3" x14ac:dyDescent="0.25">
      <c r="B64" s="14">
        <v>3</v>
      </c>
      <c r="C64" s="17" t="s">
        <v>47</v>
      </c>
    </row>
    <row r="65" spans="2:3" x14ac:dyDescent="0.25">
      <c r="B65" s="14">
        <v>4</v>
      </c>
      <c r="C65" s="17" t="s">
        <v>9</v>
      </c>
    </row>
    <row r="66" spans="2:3" x14ac:dyDescent="0.25">
      <c r="B66" s="14">
        <v>5</v>
      </c>
      <c r="C66" s="17" t="s">
        <v>62</v>
      </c>
    </row>
    <row r="67" spans="2:3" x14ac:dyDescent="0.25">
      <c r="B67" s="14">
        <v>6</v>
      </c>
      <c r="C67" s="17" t="s">
        <v>25</v>
      </c>
    </row>
    <row r="68" spans="2:3" x14ac:dyDescent="0.25">
      <c r="B68" s="14">
        <v>7</v>
      </c>
      <c r="C68" s="17" t="s">
        <v>21</v>
      </c>
    </row>
    <row r="69" spans="2:3" x14ac:dyDescent="0.25">
      <c r="B69" s="14">
        <v>8</v>
      </c>
      <c r="C69" s="17" t="s">
        <v>23</v>
      </c>
    </row>
    <row r="70" spans="2:3" x14ac:dyDescent="0.25">
      <c r="B70" s="14">
        <v>9</v>
      </c>
      <c r="C70" s="17" t="s">
        <v>32</v>
      </c>
    </row>
    <row r="71" spans="2:3" x14ac:dyDescent="0.25">
      <c r="B71" s="14">
        <v>10</v>
      </c>
      <c r="C71" s="17" t="s">
        <v>18</v>
      </c>
    </row>
    <row r="72" spans="2:3" x14ac:dyDescent="0.25">
      <c r="B72" s="14">
        <v>11</v>
      </c>
      <c r="C72" s="17" t="s">
        <v>16</v>
      </c>
    </row>
    <row r="73" spans="2:3" x14ac:dyDescent="0.25">
      <c r="B73" s="14">
        <v>12</v>
      </c>
      <c r="C73" s="17" t="s">
        <v>12</v>
      </c>
    </row>
    <row r="74" spans="2:3" ht="15.75" thickBot="1" x14ac:dyDescent="0.3">
      <c r="B74" s="13">
        <v>13</v>
      </c>
      <c r="C74" s="18" t="s">
        <v>75</v>
      </c>
    </row>
    <row r="77" spans="2:3" ht="15.75" thickBot="1" x14ac:dyDescent="0.3">
      <c r="B77" s="35" t="s">
        <v>2</v>
      </c>
      <c r="C77" s="36"/>
    </row>
    <row r="78" spans="2:3" x14ac:dyDescent="0.25">
      <c r="B78" s="12">
        <v>1</v>
      </c>
      <c r="C78" s="16" t="s">
        <v>36</v>
      </c>
    </row>
    <row r="79" spans="2:3" x14ac:dyDescent="0.25">
      <c r="B79" s="14">
        <v>2</v>
      </c>
      <c r="C79" s="17" t="s">
        <v>63</v>
      </c>
    </row>
    <row r="80" spans="2:3" x14ac:dyDescent="0.25">
      <c r="B80" s="14">
        <v>3</v>
      </c>
      <c r="C80" s="17" t="s">
        <v>70</v>
      </c>
    </row>
    <row r="81" spans="2:3" x14ac:dyDescent="0.25">
      <c r="B81" s="14">
        <v>4</v>
      </c>
      <c r="C81" s="17" t="s">
        <v>11</v>
      </c>
    </row>
    <row r="82" spans="2:3" x14ac:dyDescent="0.25">
      <c r="B82" s="14">
        <v>5</v>
      </c>
      <c r="C82" s="17" t="s">
        <v>31</v>
      </c>
    </row>
    <row r="83" spans="2:3" x14ac:dyDescent="0.25">
      <c r="B83" s="14">
        <v>6</v>
      </c>
      <c r="C83" s="17" t="s">
        <v>13</v>
      </c>
    </row>
    <row r="84" spans="2:3" x14ac:dyDescent="0.25">
      <c r="B84" s="14">
        <v>7</v>
      </c>
      <c r="C84" s="17" t="s">
        <v>28</v>
      </c>
    </row>
    <row r="85" spans="2:3" x14ac:dyDescent="0.25">
      <c r="B85" s="14">
        <v>8</v>
      </c>
      <c r="C85" s="17" t="s">
        <v>57</v>
      </c>
    </row>
    <row r="86" spans="2:3" x14ac:dyDescent="0.25">
      <c r="B86" s="14">
        <v>9</v>
      </c>
      <c r="C86" s="17" t="s">
        <v>33</v>
      </c>
    </row>
    <row r="87" spans="2:3" x14ac:dyDescent="0.25">
      <c r="B87" s="14">
        <v>10</v>
      </c>
      <c r="C87" s="17" t="s">
        <v>64</v>
      </c>
    </row>
    <row r="88" spans="2:3" x14ac:dyDescent="0.25">
      <c r="B88" s="14">
        <v>11</v>
      </c>
      <c r="C88" s="17" t="s">
        <v>20</v>
      </c>
    </row>
    <row r="89" spans="2:3" x14ac:dyDescent="0.25">
      <c r="B89" s="14">
        <v>12</v>
      </c>
      <c r="C89" s="17" t="s">
        <v>39</v>
      </c>
    </row>
    <row r="90" spans="2:3" x14ac:dyDescent="0.25">
      <c r="B90" s="14">
        <v>13</v>
      </c>
      <c r="C90" s="17" t="s">
        <v>49</v>
      </c>
    </row>
    <row r="91" spans="2:3" x14ac:dyDescent="0.25">
      <c r="B91" s="14">
        <v>14</v>
      </c>
      <c r="C91" s="17" t="s">
        <v>17</v>
      </c>
    </row>
    <row r="92" spans="2:3" x14ac:dyDescent="0.25">
      <c r="B92" s="14">
        <v>15</v>
      </c>
      <c r="C92" s="17" t="s">
        <v>69</v>
      </c>
    </row>
    <row r="93" spans="2:3" x14ac:dyDescent="0.25">
      <c r="B93" s="14">
        <v>16</v>
      </c>
      <c r="C93" s="17" t="s">
        <v>72</v>
      </c>
    </row>
    <row r="94" spans="2:3" x14ac:dyDescent="0.25">
      <c r="B94" s="14">
        <v>17</v>
      </c>
      <c r="C94" s="17" t="s">
        <v>45</v>
      </c>
    </row>
    <row r="95" spans="2:3" x14ac:dyDescent="0.25">
      <c r="B95" s="14">
        <v>18</v>
      </c>
      <c r="C95" s="17" t="s">
        <v>34</v>
      </c>
    </row>
    <row r="96" spans="2:3" x14ac:dyDescent="0.25">
      <c r="B96" s="14">
        <v>19</v>
      </c>
      <c r="C96" s="17" t="s">
        <v>46</v>
      </c>
    </row>
    <row r="97" spans="2:3" x14ac:dyDescent="0.25">
      <c r="B97" s="14">
        <v>20</v>
      </c>
      <c r="C97" s="17" t="s">
        <v>30</v>
      </c>
    </row>
    <row r="98" spans="2:3" x14ac:dyDescent="0.25">
      <c r="B98" s="14">
        <v>21</v>
      </c>
      <c r="C98" s="17" t="s">
        <v>19</v>
      </c>
    </row>
    <row r="99" spans="2:3" x14ac:dyDescent="0.25">
      <c r="B99" s="14">
        <v>22</v>
      </c>
      <c r="C99" s="17" t="s">
        <v>41</v>
      </c>
    </row>
    <row r="100" spans="2:3" x14ac:dyDescent="0.25">
      <c r="B100" s="14">
        <v>23</v>
      </c>
      <c r="C100" s="17" t="s">
        <v>66</v>
      </c>
    </row>
    <row r="101" spans="2:3" x14ac:dyDescent="0.25">
      <c r="B101" s="14">
        <v>24</v>
      </c>
      <c r="C101" s="17" t="s">
        <v>67</v>
      </c>
    </row>
    <row r="102" spans="2:3" x14ac:dyDescent="0.25">
      <c r="B102" s="14">
        <v>25</v>
      </c>
      <c r="C102" s="17" t="s">
        <v>38</v>
      </c>
    </row>
    <row r="103" spans="2:3" x14ac:dyDescent="0.25">
      <c r="B103" s="14">
        <v>26</v>
      </c>
      <c r="C103" s="17" t="s">
        <v>52</v>
      </c>
    </row>
    <row r="104" spans="2:3" x14ac:dyDescent="0.25">
      <c r="B104" s="14">
        <v>27</v>
      </c>
      <c r="C104" s="17" t="s">
        <v>35</v>
      </c>
    </row>
    <row r="105" spans="2:3" x14ac:dyDescent="0.25">
      <c r="B105" s="14">
        <v>28</v>
      </c>
      <c r="C105" s="17" t="s">
        <v>43</v>
      </c>
    </row>
    <row r="106" spans="2:3" x14ac:dyDescent="0.25">
      <c r="B106" s="14">
        <v>29</v>
      </c>
      <c r="C106" s="17" t="s">
        <v>42</v>
      </c>
    </row>
    <row r="107" spans="2:3" x14ac:dyDescent="0.25">
      <c r="B107" s="14">
        <v>30</v>
      </c>
      <c r="C107" s="17" t="s">
        <v>65</v>
      </c>
    </row>
    <row r="108" spans="2:3" x14ac:dyDescent="0.25">
      <c r="B108" s="14">
        <v>31</v>
      </c>
      <c r="C108" s="17" t="s">
        <v>60</v>
      </c>
    </row>
    <row r="109" spans="2:3" x14ac:dyDescent="0.25">
      <c r="B109" s="14">
        <v>32</v>
      </c>
      <c r="C109" s="17" t="s">
        <v>22</v>
      </c>
    </row>
    <row r="110" spans="2:3" x14ac:dyDescent="0.25">
      <c r="B110" s="14">
        <v>33</v>
      </c>
      <c r="C110" s="17" t="s">
        <v>61</v>
      </c>
    </row>
    <row r="111" spans="2:3" x14ac:dyDescent="0.25">
      <c r="B111" s="14">
        <v>34</v>
      </c>
      <c r="C111" s="17" t="s">
        <v>15</v>
      </c>
    </row>
    <row r="112" spans="2:3" x14ac:dyDescent="0.25">
      <c r="B112" s="14">
        <v>35</v>
      </c>
      <c r="C112" s="17" t="s">
        <v>26</v>
      </c>
    </row>
    <row r="113" spans="2:3" x14ac:dyDescent="0.25">
      <c r="B113" s="14">
        <v>36</v>
      </c>
      <c r="C113" s="17" t="s">
        <v>44</v>
      </c>
    </row>
    <row r="114" spans="2:3" x14ac:dyDescent="0.25">
      <c r="B114" s="14">
        <v>37</v>
      </c>
      <c r="C114" s="17" t="s">
        <v>40</v>
      </c>
    </row>
    <row r="115" spans="2:3" x14ac:dyDescent="0.25">
      <c r="B115" s="14">
        <v>38</v>
      </c>
      <c r="C115" s="17" t="s">
        <v>48</v>
      </c>
    </row>
    <row r="116" spans="2:3" x14ac:dyDescent="0.25">
      <c r="B116" s="14">
        <v>39</v>
      </c>
      <c r="C116" s="17" t="s">
        <v>73</v>
      </c>
    </row>
    <row r="117" spans="2:3" x14ac:dyDescent="0.25">
      <c r="B117" s="14">
        <v>40</v>
      </c>
      <c r="C117" s="17" t="s">
        <v>29</v>
      </c>
    </row>
    <row r="118" spans="2:3" x14ac:dyDescent="0.25">
      <c r="B118" s="14">
        <v>41</v>
      </c>
      <c r="C118" s="17" t="s">
        <v>74</v>
      </c>
    </row>
    <row r="119" spans="2:3" x14ac:dyDescent="0.25">
      <c r="B119" s="14">
        <v>42</v>
      </c>
      <c r="C119" s="17" t="s">
        <v>27</v>
      </c>
    </row>
    <row r="120" spans="2:3" x14ac:dyDescent="0.25">
      <c r="B120" s="14">
        <v>43</v>
      </c>
      <c r="C120" s="17" t="s">
        <v>51</v>
      </c>
    </row>
    <row r="121" spans="2:3" x14ac:dyDescent="0.25">
      <c r="B121" s="14">
        <v>44</v>
      </c>
      <c r="C121" s="17" t="s">
        <v>58</v>
      </c>
    </row>
    <row r="122" spans="2:3" x14ac:dyDescent="0.25">
      <c r="B122" s="14">
        <v>45</v>
      </c>
      <c r="C122" s="17" t="s">
        <v>56</v>
      </c>
    </row>
    <row r="123" spans="2:3" x14ac:dyDescent="0.25">
      <c r="B123" s="14">
        <v>46</v>
      </c>
      <c r="C123" s="17" t="s">
        <v>71</v>
      </c>
    </row>
    <row r="124" spans="2:3" x14ac:dyDescent="0.25">
      <c r="B124" s="14">
        <v>47</v>
      </c>
      <c r="C124" s="17" t="s">
        <v>24</v>
      </c>
    </row>
    <row r="125" spans="2:3" x14ac:dyDescent="0.25">
      <c r="B125" s="14">
        <v>48</v>
      </c>
      <c r="C125" s="17" t="s">
        <v>37</v>
      </c>
    </row>
    <row r="126" spans="2:3" x14ac:dyDescent="0.25">
      <c r="B126" s="14">
        <v>49</v>
      </c>
      <c r="C126" s="17" t="s">
        <v>68</v>
      </c>
    </row>
    <row r="127" spans="2:3" ht="15.75" thickBot="1" x14ac:dyDescent="0.3">
      <c r="B127" s="13">
        <v>50</v>
      </c>
      <c r="C127" s="18" t="s">
        <v>54</v>
      </c>
    </row>
    <row r="131" spans="2:3" ht="15.75" thickBot="1" x14ac:dyDescent="0.3">
      <c r="B131" s="35" t="s">
        <v>127</v>
      </c>
      <c r="C131" s="36"/>
    </row>
    <row r="132" spans="2:3" x14ac:dyDescent="0.25">
      <c r="B132" s="12">
        <v>1</v>
      </c>
      <c r="C132" s="9" t="s">
        <v>10</v>
      </c>
    </row>
    <row r="133" spans="2:3" x14ac:dyDescent="0.25">
      <c r="B133" s="14">
        <v>2</v>
      </c>
      <c r="C133" s="15" t="s">
        <v>59</v>
      </c>
    </row>
    <row r="134" spans="2:3" ht="15.75" thickBot="1" x14ac:dyDescent="0.3">
      <c r="B134" s="13">
        <v>3</v>
      </c>
      <c r="C134" s="11" t="s">
        <v>128</v>
      </c>
    </row>
    <row r="137" spans="2:3" ht="15.75" thickBot="1" x14ac:dyDescent="0.3">
      <c r="B137" s="35" t="s">
        <v>81</v>
      </c>
      <c r="C137" s="36"/>
    </row>
    <row r="138" spans="2:3" x14ac:dyDescent="0.25">
      <c r="B138" s="12">
        <v>1</v>
      </c>
      <c r="C138" s="9" t="s">
        <v>129</v>
      </c>
    </row>
    <row r="139" spans="2:3" ht="15.75" thickBot="1" x14ac:dyDescent="0.3">
      <c r="B139" s="13">
        <v>2</v>
      </c>
      <c r="C139" s="11" t="s">
        <v>130</v>
      </c>
    </row>
    <row r="142" spans="2:3" ht="15.75" thickBot="1" x14ac:dyDescent="0.3">
      <c r="B142" s="35" t="s">
        <v>131</v>
      </c>
      <c r="C142" s="36"/>
    </row>
    <row r="143" spans="2:3" x14ac:dyDescent="0.25">
      <c r="B143" s="12">
        <v>1</v>
      </c>
      <c r="C143" s="9" t="s">
        <v>129</v>
      </c>
    </row>
    <row r="144" spans="2:3" ht="15.75" thickBot="1" x14ac:dyDescent="0.3">
      <c r="B144" s="13">
        <v>2</v>
      </c>
      <c r="C144" s="11" t="s">
        <v>130</v>
      </c>
    </row>
    <row r="147" spans="2:3" ht="15.75" thickBot="1" x14ac:dyDescent="0.3">
      <c r="B147" s="35" t="s">
        <v>106</v>
      </c>
      <c r="C147" s="36"/>
    </row>
    <row r="148" spans="2:3" x14ac:dyDescent="0.25">
      <c r="B148" s="12">
        <v>1</v>
      </c>
      <c r="C148" s="9" t="s">
        <v>129</v>
      </c>
    </row>
    <row r="149" spans="2:3" ht="15.75" thickBot="1" x14ac:dyDescent="0.3">
      <c r="B149" s="13">
        <v>2</v>
      </c>
      <c r="C149" s="11" t="s">
        <v>130</v>
      </c>
    </row>
    <row r="152" spans="2:3" ht="15.75" thickBot="1" x14ac:dyDescent="0.3">
      <c r="B152" s="35" t="s">
        <v>6</v>
      </c>
      <c r="C152" s="36"/>
    </row>
    <row r="153" spans="2:3" x14ac:dyDescent="0.25">
      <c r="B153" s="12">
        <v>1</v>
      </c>
      <c r="C153" s="9" t="s">
        <v>129</v>
      </c>
    </row>
    <row r="154" spans="2:3" ht="15.75" thickBot="1" x14ac:dyDescent="0.3">
      <c r="B154" s="13">
        <v>2</v>
      </c>
      <c r="C154" s="11" t="s">
        <v>130</v>
      </c>
    </row>
  </sheetData>
  <mergeCells count="13">
    <mergeCell ref="B142:C142"/>
    <mergeCell ref="B147:C147"/>
    <mergeCell ref="B152:C152"/>
    <mergeCell ref="B41:C41"/>
    <mergeCell ref="B61:C61"/>
    <mergeCell ref="B77:C77"/>
    <mergeCell ref="B131:C131"/>
    <mergeCell ref="B137:C137"/>
    <mergeCell ref="B1:C1"/>
    <mergeCell ref="B7:C7"/>
    <mergeCell ref="B12:C12"/>
    <mergeCell ref="B27:C27"/>
    <mergeCell ref="B33:C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35"/>
  <sheetViews>
    <sheetView topLeftCell="B625" workbookViewId="0">
      <selection activeCell="G638" sqref="G638:G639"/>
    </sheetView>
  </sheetViews>
  <sheetFormatPr baseColWidth="10" defaultColWidth="9.140625" defaultRowHeight="15" x14ac:dyDescent="0.25"/>
  <cols>
    <col min="3" max="3" width="16.5703125" customWidth="1"/>
    <col min="6" max="6" width="12.85546875" customWidth="1"/>
    <col min="7" max="7" width="9.7109375" customWidth="1"/>
    <col min="8" max="8" width="12" customWidth="1"/>
    <col min="9" max="9" width="22.5703125" customWidth="1"/>
    <col min="10" max="10" width="19.42578125" customWidth="1"/>
    <col min="11" max="11" width="19" customWidth="1"/>
    <col min="12" max="12" width="21.85546875" customWidth="1"/>
    <col min="13" max="13" width="13.28515625" customWidth="1"/>
    <col min="14" max="14" width="11.85546875" customWidth="1"/>
    <col min="15" max="15" width="19.28515625" customWidth="1"/>
    <col min="16" max="16" width="13.5703125" customWidth="1"/>
    <col min="18" max="18" width="21.7109375" customWidth="1"/>
  </cols>
  <sheetData>
    <row r="1" spans="1:18" x14ac:dyDescent="0.25">
      <c r="A1" t="s">
        <v>76</v>
      </c>
      <c r="B1" t="s">
        <v>0</v>
      </c>
      <c r="C1" t="s">
        <v>79</v>
      </c>
      <c r="D1" t="s">
        <v>1</v>
      </c>
      <c r="E1" t="s">
        <v>80</v>
      </c>
      <c r="F1" t="s">
        <v>7</v>
      </c>
      <c r="G1" t="s">
        <v>84</v>
      </c>
      <c r="H1" t="s">
        <v>134</v>
      </c>
      <c r="I1" t="s">
        <v>8</v>
      </c>
      <c r="J1" t="s">
        <v>3</v>
      </c>
      <c r="K1" t="s">
        <v>2</v>
      </c>
      <c r="L1" t="s">
        <v>127</v>
      </c>
      <c r="M1" t="s">
        <v>81</v>
      </c>
      <c r="N1" t="s">
        <v>82</v>
      </c>
      <c r="O1" t="s">
        <v>106</v>
      </c>
      <c r="P1" t="s">
        <v>6</v>
      </c>
      <c r="Q1" t="s">
        <v>4</v>
      </c>
      <c r="R1" t="s">
        <v>83</v>
      </c>
    </row>
    <row r="2" spans="1:18" x14ac:dyDescent="0.25">
      <c r="A2">
        <v>60000001</v>
      </c>
      <c r="B2">
        <v>24</v>
      </c>
      <c r="C2" t="s">
        <v>85</v>
      </c>
      <c r="D2" t="s">
        <v>87</v>
      </c>
      <c r="E2" t="s">
        <v>100</v>
      </c>
      <c r="F2" t="s">
        <v>102</v>
      </c>
      <c r="G2">
        <v>20</v>
      </c>
      <c r="H2" t="s">
        <v>109</v>
      </c>
      <c r="I2" t="s">
        <v>22</v>
      </c>
      <c r="J2" t="s">
        <v>32</v>
      </c>
      <c r="K2" t="s">
        <v>74</v>
      </c>
      <c r="L2" t="s">
        <v>10</v>
      </c>
      <c r="M2" t="s">
        <v>130</v>
      </c>
      <c r="N2" t="s">
        <v>130</v>
      </c>
      <c r="O2" t="s">
        <v>130</v>
      </c>
      <c r="P2" t="s">
        <v>130</v>
      </c>
      <c r="Q2">
        <v>0</v>
      </c>
      <c r="R2">
        <v>32249</v>
      </c>
    </row>
    <row r="3" spans="1:18" x14ac:dyDescent="0.25">
      <c r="A3">
        <v>60000002</v>
      </c>
      <c r="B3">
        <v>43</v>
      </c>
      <c r="C3" t="s">
        <v>86</v>
      </c>
      <c r="D3" t="s">
        <v>88</v>
      </c>
      <c r="E3" t="s">
        <v>95</v>
      </c>
      <c r="F3" t="s">
        <v>102</v>
      </c>
      <c r="G3">
        <v>32</v>
      </c>
      <c r="H3" t="s">
        <v>111</v>
      </c>
      <c r="I3" t="s">
        <v>139</v>
      </c>
      <c r="J3" t="s">
        <v>53</v>
      </c>
      <c r="K3" t="s">
        <v>51</v>
      </c>
      <c r="L3" t="s">
        <v>10</v>
      </c>
      <c r="M3" t="s">
        <v>130</v>
      </c>
      <c r="N3" t="s">
        <v>130</v>
      </c>
      <c r="O3" t="s">
        <v>130</v>
      </c>
      <c r="P3" t="s">
        <v>130</v>
      </c>
      <c r="Q3">
        <v>0</v>
      </c>
      <c r="R3">
        <v>50190</v>
      </c>
    </row>
    <row r="4" spans="1:18" x14ac:dyDescent="0.25">
      <c r="A4">
        <v>60000003</v>
      </c>
      <c r="B4">
        <v>38</v>
      </c>
      <c r="C4" t="s">
        <v>85</v>
      </c>
      <c r="D4" t="s">
        <v>87</v>
      </c>
      <c r="E4" t="s">
        <v>93</v>
      </c>
      <c r="F4" t="s">
        <v>102</v>
      </c>
      <c r="G4">
        <v>20</v>
      </c>
      <c r="H4" t="s">
        <v>109</v>
      </c>
      <c r="I4" t="s">
        <v>139</v>
      </c>
      <c r="J4" t="s">
        <v>21</v>
      </c>
      <c r="K4" t="s">
        <v>42</v>
      </c>
      <c r="L4" t="s">
        <v>10</v>
      </c>
      <c r="M4" t="s">
        <v>130</v>
      </c>
      <c r="N4" t="s">
        <v>130</v>
      </c>
      <c r="O4" t="s">
        <v>130</v>
      </c>
      <c r="P4" t="s">
        <v>129</v>
      </c>
      <c r="Q4">
        <v>3</v>
      </c>
      <c r="R4">
        <v>53861</v>
      </c>
    </row>
    <row r="5" spans="1:18" x14ac:dyDescent="0.25">
      <c r="A5">
        <v>60000004</v>
      </c>
      <c r="B5">
        <v>40</v>
      </c>
      <c r="C5" t="s">
        <v>85</v>
      </c>
      <c r="D5" t="s">
        <v>87</v>
      </c>
      <c r="E5" t="s">
        <v>97</v>
      </c>
      <c r="F5" t="s">
        <v>102</v>
      </c>
      <c r="G5">
        <v>23</v>
      </c>
      <c r="H5" t="s">
        <v>109</v>
      </c>
      <c r="I5" t="s">
        <v>140</v>
      </c>
      <c r="J5" t="s">
        <v>12</v>
      </c>
      <c r="K5" t="s">
        <v>73</v>
      </c>
      <c r="L5" t="s">
        <v>10</v>
      </c>
      <c r="M5" t="s">
        <v>130</v>
      </c>
      <c r="N5" t="s">
        <v>130</v>
      </c>
      <c r="O5" t="s">
        <v>130</v>
      </c>
      <c r="P5" t="s">
        <v>130</v>
      </c>
      <c r="Q5">
        <v>0</v>
      </c>
      <c r="R5">
        <v>63985</v>
      </c>
    </row>
    <row r="6" spans="1:18" x14ac:dyDescent="0.25">
      <c r="A6">
        <v>60000005</v>
      </c>
      <c r="B6">
        <v>61</v>
      </c>
      <c r="C6" t="s">
        <v>85</v>
      </c>
      <c r="D6" t="s">
        <v>88</v>
      </c>
      <c r="E6" t="s">
        <v>95</v>
      </c>
      <c r="F6" t="s">
        <v>102</v>
      </c>
      <c r="G6">
        <v>36</v>
      </c>
      <c r="H6" t="s">
        <v>111</v>
      </c>
      <c r="I6" t="s">
        <v>141</v>
      </c>
      <c r="J6" t="s">
        <v>25</v>
      </c>
      <c r="K6" t="s">
        <v>71</v>
      </c>
      <c r="L6" t="s">
        <v>10</v>
      </c>
      <c r="M6" t="s">
        <v>130</v>
      </c>
      <c r="N6" t="s">
        <v>130</v>
      </c>
      <c r="O6" t="s">
        <v>130</v>
      </c>
      <c r="P6" t="s">
        <v>129</v>
      </c>
      <c r="Q6">
        <v>2</v>
      </c>
      <c r="R6">
        <v>71975</v>
      </c>
    </row>
    <row r="7" spans="1:18" x14ac:dyDescent="0.25">
      <c r="A7">
        <v>60000006</v>
      </c>
      <c r="B7">
        <v>27</v>
      </c>
      <c r="C7" t="s">
        <v>85</v>
      </c>
      <c r="D7" t="s">
        <v>87</v>
      </c>
      <c r="E7" t="s">
        <v>95</v>
      </c>
      <c r="F7" t="s">
        <v>102</v>
      </c>
      <c r="G7">
        <v>38</v>
      </c>
      <c r="H7" t="s">
        <v>111</v>
      </c>
      <c r="I7" t="s">
        <v>142</v>
      </c>
      <c r="J7" t="s">
        <v>62</v>
      </c>
      <c r="K7" t="s">
        <v>28</v>
      </c>
      <c r="L7" t="s">
        <v>10</v>
      </c>
      <c r="M7" t="s">
        <v>130</v>
      </c>
      <c r="N7" t="s">
        <v>130</v>
      </c>
      <c r="O7" t="s">
        <v>130</v>
      </c>
      <c r="P7" t="s">
        <v>130</v>
      </c>
      <c r="Q7">
        <v>0</v>
      </c>
      <c r="R7">
        <v>38682</v>
      </c>
    </row>
    <row r="8" spans="1:18" x14ac:dyDescent="0.25">
      <c r="A8">
        <v>60000007</v>
      </c>
      <c r="B8">
        <v>27</v>
      </c>
      <c r="C8" t="s">
        <v>85</v>
      </c>
      <c r="D8" t="s">
        <v>88</v>
      </c>
      <c r="E8" t="s">
        <v>99</v>
      </c>
      <c r="F8" t="s">
        <v>102</v>
      </c>
      <c r="G8">
        <v>13</v>
      </c>
      <c r="H8" t="s">
        <v>132</v>
      </c>
      <c r="I8" t="s">
        <v>143</v>
      </c>
      <c r="J8" t="s">
        <v>25</v>
      </c>
      <c r="K8" t="s">
        <v>34</v>
      </c>
      <c r="L8" t="s">
        <v>10</v>
      </c>
      <c r="M8" t="s">
        <v>130</v>
      </c>
      <c r="N8" t="s">
        <v>130</v>
      </c>
      <c r="O8" t="s">
        <v>130</v>
      </c>
      <c r="P8" t="s">
        <v>130</v>
      </c>
      <c r="Q8">
        <v>0</v>
      </c>
      <c r="R8">
        <v>69924</v>
      </c>
    </row>
    <row r="9" spans="1:18" x14ac:dyDescent="0.25">
      <c r="A9">
        <v>60000008</v>
      </c>
      <c r="B9">
        <v>58</v>
      </c>
      <c r="C9" t="s">
        <v>85</v>
      </c>
      <c r="D9" t="s">
        <v>88</v>
      </c>
      <c r="E9" t="s">
        <v>99</v>
      </c>
      <c r="F9" t="s">
        <v>102</v>
      </c>
      <c r="G9">
        <v>18</v>
      </c>
      <c r="H9" t="s">
        <v>132</v>
      </c>
      <c r="I9" t="s">
        <v>144</v>
      </c>
      <c r="J9" t="s">
        <v>12</v>
      </c>
      <c r="K9" t="s">
        <v>74</v>
      </c>
      <c r="L9" t="s">
        <v>10</v>
      </c>
      <c r="M9" t="s">
        <v>130</v>
      </c>
      <c r="N9" t="s">
        <v>130</v>
      </c>
      <c r="O9" t="s">
        <v>130</v>
      </c>
      <c r="P9" t="s">
        <v>129</v>
      </c>
      <c r="Q9">
        <v>3</v>
      </c>
      <c r="R9">
        <v>41810</v>
      </c>
    </row>
    <row r="10" spans="1:18" x14ac:dyDescent="0.25">
      <c r="A10">
        <v>60000009</v>
      </c>
      <c r="B10">
        <v>33</v>
      </c>
      <c r="C10" t="s">
        <v>85</v>
      </c>
      <c r="D10" t="s">
        <v>88</v>
      </c>
      <c r="E10" t="s">
        <v>98</v>
      </c>
      <c r="F10" t="s">
        <v>102</v>
      </c>
      <c r="G10">
        <v>38</v>
      </c>
      <c r="H10" t="s">
        <v>111</v>
      </c>
      <c r="I10" t="s">
        <v>145</v>
      </c>
      <c r="J10" t="s">
        <v>32</v>
      </c>
      <c r="K10" t="s">
        <v>27</v>
      </c>
      <c r="L10" t="s">
        <v>10</v>
      </c>
      <c r="M10" t="s">
        <v>130</v>
      </c>
      <c r="N10" t="s">
        <v>130</v>
      </c>
      <c r="O10" t="s">
        <v>130</v>
      </c>
      <c r="P10" t="s">
        <v>129</v>
      </c>
      <c r="Q10">
        <v>7</v>
      </c>
      <c r="R10">
        <v>56001</v>
      </c>
    </row>
    <row r="11" spans="1:18" x14ac:dyDescent="0.25">
      <c r="A11">
        <v>60000010</v>
      </c>
      <c r="B11">
        <v>34</v>
      </c>
      <c r="C11" t="s">
        <v>85</v>
      </c>
      <c r="D11" t="s">
        <v>88</v>
      </c>
      <c r="E11" t="s">
        <v>99</v>
      </c>
      <c r="F11" t="s">
        <v>102</v>
      </c>
      <c r="G11">
        <v>21</v>
      </c>
      <c r="H11" t="s">
        <v>109</v>
      </c>
      <c r="I11" t="s">
        <v>55</v>
      </c>
      <c r="J11" t="s">
        <v>16</v>
      </c>
      <c r="K11" t="s">
        <v>67</v>
      </c>
      <c r="L11" t="s">
        <v>10</v>
      </c>
      <c r="M11" t="s">
        <v>130</v>
      </c>
      <c r="N11" t="s">
        <v>130</v>
      </c>
      <c r="O11" t="s">
        <v>130</v>
      </c>
      <c r="P11" t="s">
        <v>130</v>
      </c>
      <c r="Q11">
        <v>0</v>
      </c>
      <c r="R11">
        <v>41600</v>
      </c>
    </row>
    <row r="12" spans="1:18" x14ac:dyDescent="0.25">
      <c r="A12">
        <v>60000011</v>
      </c>
      <c r="B12">
        <v>49</v>
      </c>
      <c r="C12" t="s">
        <v>85</v>
      </c>
      <c r="D12" t="s">
        <v>88</v>
      </c>
      <c r="E12" t="s">
        <v>100</v>
      </c>
      <c r="F12" t="s">
        <v>102</v>
      </c>
      <c r="G12">
        <v>18</v>
      </c>
      <c r="H12" t="s">
        <v>132</v>
      </c>
      <c r="I12" t="s">
        <v>146</v>
      </c>
      <c r="J12" t="s">
        <v>14</v>
      </c>
      <c r="K12" t="s">
        <v>58</v>
      </c>
      <c r="L12" t="s">
        <v>10</v>
      </c>
      <c r="M12" t="s">
        <v>130</v>
      </c>
      <c r="N12" t="s">
        <v>130</v>
      </c>
      <c r="O12" t="s">
        <v>130</v>
      </c>
      <c r="P12" t="s">
        <v>130</v>
      </c>
      <c r="Q12">
        <v>0</v>
      </c>
      <c r="R12">
        <v>62931</v>
      </c>
    </row>
    <row r="13" spans="1:18" x14ac:dyDescent="0.25">
      <c r="A13">
        <v>60000012</v>
      </c>
      <c r="B13">
        <v>31</v>
      </c>
      <c r="C13" t="s">
        <v>85</v>
      </c>
      <c r="D13" t="s">
        <v>87</v>
      </c>
      <c r="E13" t="s">
        <v>5</v>
      </c>
      <c r="F13" t="s">
        <v>102</v>
      </c>
      <c r="G13">
        <v>16</v>
      </c>
      <c r="H13" t="s">
        <v>132</v>
      </c>
      <c r="I13" t="s">
        <v>143</v>
      </c>
      <c r="J13" t="s">
        <v>47</v>
      </c>
      <c r="K13" t="s">
        <v>22</v>
      </c>
      <c r="L13" t="s">
        <v>10</v>
      </c>
      <c r="M13" t="s">
        <v>130</v>
      </c>
      <c r="N13" t="s">
        <v>130</v>
      </c>
      <c r="O13" t="s">
        <v>130</v>
      </c>
      <c r="P13" t="s">
        <v>130</v>
      </c>
      <c r="Q13">
        <v>0</v>
      </c>
      <c r="R13">
        <v>67313</v>
      </c>
    </row>
    <row r="14" spans="1:18" x14ac:dyDescent="0.25">
      <c r="A14">
        <v>60000013</v>
      </c>
      <c r="B14">
        <v>29</v>
      </c>
      <c r="C14" t="s">
        <v>85</v>
      </c>
      <c r="D14" t="s">
        <v>88</v>
      </c>
      <c r="E14" t="s">
        <v>90</v>
      </c>
      <c r="F14" t="s">
        <v>102</v>
      </c>
      <c r="G14">
        <v>32</v>
      </c>
      <c r="H14" t="s">
        <v>111</v>
      </c>
      <c r="I14" t="s">
        <v>143</v>
      </c>
      <c r="J14" t="s">
        <v>25</v>
      </c>
      <c r="K14" t="s">
        <v>41</v>
      </c>
      <c r="L14" t="s">
        <v>10</v>
      </c>
      <c r="M14" t="s">
        <v>130</v>
      </c>
      <c r="N14" t="s">
        <v>130</v>
      </c>
      <c r="O14" t="s">
        <v>130</v>
      </c>
      <c r="P14" t="s">
        <v>129</v>
      </c>
      <c r="Q14">
        <v>6</v>
      </c>
      <c r="R14">
        <v>53872</v>
      </c>
    </row>
    <row r="15" spans="1:18" x14ac:dyDescent="0.25">
      <c r="A15">
        <v>60000014</v>
      </c>
      <c r="B15">
        <v>21</v>
      </c>
      <c r="C15" t="s">
        <v>85</v>
      </c>
      <c r="D15" t="s">
        <v>88</v>
      </c>
      <c r="E15" t="s">
        <v>97</v>
      </c>
      <c r="F15" t="s">
        <v>102</v>
      </c>
      <c r="G15">
        <v>18</v>
      </c>
      <c r="H15" t="s">
        <v>132</v>
      </c>
      <c r="I15" t="s">
        <v>145</v>
      </c>
      <c r="J15" t="s">
        <v>53</v>
      </c>
      <c r="K15" t="s">
        <v>74</v>
      </c>
      <c r="L15" t="s">
        <v>10</v>
      </c>
      <c r="M15" t="s">
        <v>130</v>
      </c>
      <c r="N15" t="s">
        <v>130</v>
      </c>
      <c r="O15" t="s">
        <v>130</v>
      </c>
      <c r="P15" t="s">
        <v>130</v>
      </c>
      <c r="Q15">
        <v>0</v>
      </c>
      <c r="R15">
        <v>79273</v>
      </c>
    </row>
    <row r="16" spans="1:18" x14ac:dyDescent="0.25">
      <c r="A16">
        <v>60000015</v>
      </c>
      <c r="B16">
        <v>35</v>
      </c>
      <c r="C16" t="s">
        <v>86</v>
      </c>
      <c r="D16" t="s">
        <v>87</v>
      </c>
      <c r="E16" t="s">
        <v>5</v>
      </c>
      <c r="F16" t="s">
        <v>102</v>
      </c>
      <c r="G16">
        <v>34</v>
      </c>
      <c r="H16" t="s">
        <v>111</v>
      </c>
      <c r="I16" t="s">
        <v>140</v>
      </c>
      <c r="J16" t="s">
        <v>14</v>
      </c>
      <c r="K16" t="s">
        <v>20</v>
      </c>
      <c r="L16" t="s">
        <v>10</v>
      </c>
      <c r="M16" t="s">
        <v>130</v>
      </c>
      <c r="N16" t="s">
        <v>130</v>
      </c>
      <c r="O16" t="s">
        <v>130</v>
      </c>
      <c r="P16" t="s">
        <v>129</v>
      </c>
      <c r="Q16">
        <v>1</v>
      </c>
      <c r="R16">
        <v>38824</v>
      </c>
    </row>
    <row r="17" spans="1:18" x14ac:dyDescent="0.25">
      <c r="A17">
        <v>60000016</v>
      </c>
      <c r="B17">
        <v>42</v>
      </c>
      <c r="C17" t="s">
        <v>85</v>
      </c>
      <c r="D17" t="s">
        <v>88</v>
      </c>
      <c r="E17" t="s">
        <v>93</v>
      </c>
      <c r="F17" t="s">
        <v>102</v>
      </c>
      <c r="G17">
        <v>31</v>
      </c>
      <c r="H17" t="s">
        <v>110</v>
      </c>
      <c r="I17" t="s">
        <v>142</v>
      </c>
      <c r="J17" t="s">
        <v>53</v>
      </c>
      <c r="K17" t="s">
        <v>27</v>
      </c>
      <c r="L17" t="s">
        <v>10</v>
      </c>
      <c r="M17" t="s">
        <v>130</v>
      </c>
      <c r="N17" t="s">
        <v>130</v>
      </c>
      <c r="O17" t="s">
        <v>130</v>
      </c>
      <c r="P17" t="s">
        <v>130</v>
      </c>
      <c r="Q17">
        <v>0</v>
      </c>
      <c r="R17">
        <v>69303</v>
      </c>
    </row>
    <row r="18" spans="1:18" x14ac:dyDescent="0.25">
      <c r="A18">
        <v>60000017</v>
      </c>
      <c r="B18">
        <v>64</v>
      </c>
      <c r="C18" t="s">
        <v>86</v>
      </c>
      <c r="D18" t="s">
        <v>87</v>
      </c>
      <c r="E18" t="s">
        <v>99</v>
      </c>
      <c r="F18" t="s">
        <v>102</v>
      </c>
      <c r="G18">
        <v>36</v>
      </c>
      <c r="H18" t="s">
        <v>111</v>
      </c>
      <c r="I18" t="s">
        <v>140</v>
      </c>
      <c r="J18" t="s">
        <v>32</v>
      </c>
      <c r="K18" t="s">
        <v>73</v>
      </c>
      <c r="L18" t="s">
        <v>10</v>
      </c>
      <c r="M18" t="s">
        <v>130</v>
      </c>
      <c r="N18" t="s">
        <v>130</v>
      </c>
      <c r="O18" t="s">
        <v>130</v>
      </c>
      <c r="P18" t="s">
        <v>130</v>
      </c>
      <c r="Q18">
        <v>0</v>
      </c>
      <c r="R18">
        <v>43397</v>
      </c>
    </row>
    <row r="19" spans="1:18" x14ac:dyDescent="0.25">
      <c r="A19">
        <v>60000018</v>
      </c>
      <c r="B19">
        <v>22</v>
      </c>
      <c r="C19" t="s">
        <v>85</v>
      </c>
      <c r="D19" t="s">
        <v>87</v>
      </c>
      <c r="E19" t="s">
        <v>100</v>
      </c>
      <c r="F19" t="s">
        <v>102</v>
      </c>
      <c r="G19">
        <v>12</v>
      </c>
      <c r="H19" t="s">
        <v>132</v>
      </c>
      <c r="I19" t="s">
        <v>146</v>
      </c>
      <c r="J19" t="s">
        <v>14</v>
      </c>
      <c r="K19" t="s">
        <v>66</v>
      </c>
      <c r="L19" t="s">
        <v>10</v>
      </c>
      <c r="M19" t="s">
        <v>130</v>
      </c>
      <c r="N19" t="s">
        <v>130</v>
      </c>
      <c r="O19" t="s">
        <v>130</v>
      </c>
      <c r="P19" t="s">
        <v>130</v>
      </c>
      <c r="Q19">
        <v>0</v>
      </c>
      <c r="R19">
        <v>46382</v>
      </c>
    </row>
    <row r="20" spans="1:18" x14ac:dyDescent="0.25">
      <c r="A20">
        <v>60000019</v>
      </c>
      <c r="B20">
        <v>34</v>
      </c>
      <c r="C20" t="s">
        <v>86</v>
      </c>
      <c r="D20" t="s">
        <v>87</v>
      </c>
      <c r="E20" t="s">
        <v>93</v>
      </c>
      <c r="F20" t="s">
        <v>102</v>
      </c>
      <c r="G20">
        <v>32</v>
      </c>
      <c r="H20" t="s">
        <v>111</v>
      </c>
      <c r="I20" t="s">
        <v>140</v>
      </c>
      <c r="J20" t="s">
        <v>9</v>
      </c>
      <c r="K20" t="s">
        <v>65</v>
      </c>
      <c r="L20" t="s">
        <v>10</v>
      </c>
      <c r="M20" t="s">
        <v>130</v>
      </c>
      <c r="N20" t="s">
        <v>130</v>
      </c>
      <c r="O20" t="s">
        <v>130</v>
      </c>
      <c r="P20" t="s">
        <v>130</v>
      </c>
      <c r="Q20">
        <v>0</v>
      </c>
      <c r="R20">
        <v>53991</v>
      </c>
    </row>
    <row r="21" spans="1:18" x14ac:dyDescent="0.25">
      <c r="A21">
        <v>60000020</v>
      </c>
      <c r="B21">
        <v>59</v>
      </c>
      <c r="C21" t="s">
        <v>85</v>
      </c>
      <c r="D21" t="s">
        <v>88</v>
      </c>
      <c r="E21" t="s">
        <v>92</v>
      </c>
      <c r="F21" t="s">
        <v>102</v>
      </c>
      <c r="G21">
        <v>27</v>
      </c>
      <c r="H21" t="s">
        <v>110</v>
      </c>
      <c r="I21" t="s">
        <v>146</v>
      </c>
      <c r="J21" t="s">
        <v>14</v>
      </c>
      <c r="K21" t="s">
        <v>52</v>
      </c>
      <c r="L21" t="s">
        <v>10</v>
      </c>
      <c r="M21" t="s">
        <v>130</v>
      </c>
      <c r="N21" t="s">
        <v>130</v>
      </c>
      <c r="O21" t="s">
        <v>130</v>
      </c>
      <c r="P21" t="s">
        <v>129</v>
      </c>
      <c r="Q21">
        <v>6</v>
      </c>
      <c r="R21">
        <v>63210</v>
      </c>
    </row>
    <row r="22" spans="1:18" x14ac:dyDescent="0.25">
      <c r="A22">
        <v>60000021</v>
      </c>
      <c r="B22">
        <v>55</v>
      </c>
      <c r="C22" t="s">
        <v>85</v>
      </c>
      <c r="D22" t="s">
        <v>88</v>
      </c>
      <c r="E22" t="s">
        <v>100</v>
      </c>
      <c r="F22" t="s">
        <v>102</v>
      </c>
      <c r="G22">
        <v>27</v>
      </c>
      <c r="H22" t="s">
        <v>110</v>
      </c>
      <c r="I22" t="s">
        <v>147</v>
      </c>
      <c r="J22" t="s">
        <v>14</v>
      </c>
      <c r="K22" t="s">
        <v>34</v>
      </c>
      <c r="L22" t="s">
        <v>10</v>
      </c>
      <c r="M22" t="s">
        <v>130</v>
      </c>
      <c r="N22" t="s">
        <v>130</v>
      </c>
      <c r="O22" t="s">
        <v>130</v>
      </c>
      <c r="P22" t="s">
        <v>129</v>
      </c>
      <c r="Q22">
        <v>4</v>
      </c>
      <c r="R22">
        <v>72718</v>
      </c>
    </row>
    <row r="23" spans="1:18" x14ac:dyDescent="0.25">
      <c r="A23">
        <v>60000022</v>
      </c>
      <c r="B23">
        <v>50</v>
      </c>
      <c r="C23" t="s">
        <v>85</v>
      </c>
      <c r="D23" t="s">
        <v>88</v>
      </c>
      <c r="E23" t="s">
        <v>99</v>
      </c>
      <c r="F23" t="s">
        <v>102</v>
      </c>
      <c r="G23">
        <v>38</v>
      </c>
      <c r="H23" t="s">
        <v>111</v>
      </c>
      <c r="I23" t="s">
        <v>144</v>
      </c>
      <c r="J23" t="s">
        <v>18</v>
      </c>
      <c r="K23" t="s">
        <v>66</v>
      </c>
      <c r="L23" t="s">
        <v>10</v>
      </c>
      <c r="M23" t="s">
        <v>130</v>
      </c>
      <c r="N23" t="s">
        <v>130</v>
      </c>
      <c r="O23" t="s">
        <v>130</v>
      </c>
      <c r="P23" t="s">
        <v>129</v>
      </c>
      <c r="Q23">
        <v>3</v>
      </c>
      <c r="R23">
        <v>74859</v>
      </c>
    </row>
    <row r="24" spans="1:18" x14ac:dyDescent="0.25">
      <c r="A24">
        <v>60000023</v>
      </c>
      <c r="B24">
        <v>55</v>
      </c>
      <c r="C24" t="s">
        <v>85</v>
      </c>
      <c r="D24" t="s">
        <v>87</v>
      </c>
      <c r="E24" t="s">
        <v>5</v>
      </c>
      <c r="F24" t="s">
        <v>102</v>
      </c>
      <c r="G24">
        <v>32</v>
      </c>
      <c r="H24" t="s">
        <v>111</v>
      </c>
      <c r="I24" t="s">
        <v>143</v>
      </c>
      <c r="J24" t="s">
        <v>47</v>
      </c>
      <c r="K24" t="s">
        <v>17</v>
      </c>
      <c r="L24" t="s">
        <v>10</v>
      </c>
      <c r="M24" t="s">
        <v>130</v>
      </c>
      <c r="N24" t="s">
        <v>130</v>
      </c>
      <c r="O24" t="s">
        <v>130</v>
      </c>
      <c r="P24" t="s">
        <v>130</v>
      </c>
      <c r="Q24">
        <v>0</v>
      </c>
      <c r="R24">
        <v>76036</v>
      </c>
    </row>
    <row r="25" spans="1:18" x14ac:dyDescent="0.25">
      <c r="A25">
        <v>60000024</v>
      </c>
      <c r="B25">
        <v>47</v>
      </c>
      <c r="C25" t="s">
        <v>86</v>
      </c>
      <c r="D25" t="s">
        <v>88</v>
      </c>
      <c r="E25" t="s">
        <v>95</v>
      </c>
      <c r="F25" t="s">
        <v>102</v>
      </c>
      <c r="G25">
        <v>17</v>
      </c>
      <c r="H25" t="s">
        <v>132</v>
      </c>
      <c r="I25" t="s">
        <v>145</v>
      </c>
      <c r="J25" t="s">
        <v>16</v>
      </c>
      <c r="K25" t="s">
        <v>61</v>
      </c>
      <c r="L25" t="s">
        <v>10</v>
      </c>
      <c r="M25" t="s">
        <v>130</v>
      </c>
      <c r="N25" t="s">
        <v>130</v>
      </c>
      <c r="O25" t="s">
        <v>130</v>
      </c>
      <c r="P25" t="s">
        <v>130</v>
      </c>
      <c r="Q25">
        <v>0</v>
      </c>
      <c r="R25">
        <v>54782</v>
      </c>
    </row>
    <row r="26" spans="1:18" x14ac:dyDescent="0.25">
      <c r="A26">
        <v>60000025</v>
      </c>
      <c r="B26">
        <v>24</v>
      </c>
      <c r="C26" t="s">
        <v>85</v>
      </c>
      <c r="D26" t="s">
        <v>88</v>
      </c>
      <c r="E26" t="s">
        <v>100</v>
      </c>
      <c r="F26" t="s">
        <v>102</v>
      </c>
      <c r="G26">
        <v>25</v>
      </c>
      <c r="H26" t="s">
        <v>110</v>
      </c>
      <c r="I26" t="s">
        <v>139</v>
      </c>
      <c r="J26" t="s">
        <v>9</v>
      </c>
      <c r="K26" t="s">
        <v>67</v>
      </c>
      <c r="L26" t="s">
        <v>10</v>
      </c>
      <c r="M26" t="s">
        <v>130</v>
      </c>
      <c r="N26" t="s">
        <v>130</v>
      </c>
      <c r="O26" t="s">
        <v>130</v>
      </c>
      <c r="P26" t="s">
        <v>130</v>
      </c>
      <c r="Q26">
        <v>0</v>
      </c>
      <c r="R26">
        <v>76364</v>
      </c>
    </row>
    <row r="27" spans="1:18" x14ac:dyDescent="0.25">
      <c r="A27">
        <v>60000026</v>
      </c>
      <c r="B27">
        <v>47</v>
      </c>
      <c r="C27" t="s">
        <v>85</v>
      </c>
      <c r="D27" t="s">
        <v>87</v>
      </c>
      <c r="E27" t="s">
        <v>95</v>
      </c>
      <c r="F27" t="s">
        <v>102</v>
      </c>
      <c r="G27">
        <v>24</v>
      </c>
      <c r="H27" t="s">
        <v>109</v>
      </c>
      <c r="I27" t="s">
        <v>144</v>
      </c>
      <c r="J27" t="s">
        <v>62</v>
      </c>
      <c r="K27" t="s">
        <v>28</v>
      </c>
      <c r="L27" t="s">
        <v>10</v>
      </c>
      <c r="M27" t="s">
        <v>130</v>
      </c>
      <c r="N27" t="s">
        <v>130</v>
      </c>
      <c r="O27" t="s">
        <v>130</v>
      </c>
      <c r="P27" t="s">
        <v>129</v>
      </c>
      <c r="Q27">
        <v>1</v>
      </c>
      <c r="R27">
        <v>78267</v>
      </c>
    </row>
    <row r="28" spans="1:18" x14ac:dyDescent="0.25">
      <c r="A28">
        <v>60000027</v>
      </c>
      <c r="B28">
        <v>47</v>
      </c>
      <c r="C28" t="s">
        <v>86</v>
      </c>
      <c r="D28" t="s">
        <v>88</v>
      </c>
      <c r="E28" t="s">
        <v>99</v>
      </c>
      <c r="F28" t="s">
        <v>102</v>
      </c>
      <c r="G28">
        <v>29</v>
      </c>
      <c r="H28" t="s">
        <v>110</v>
      </c>
      <c r="I28" t="s">
        <v>144</v>
      </c>
      <c r="J28" t="s">
        <v>9</v>
      </c>
      <c r="K28" t="s">
        <v>13</v>
      </c>
      <c r="L28" t="s">
        <v>10</v>
      </c>
      <c r="M28" t="s">
        <v>130</v>
      </c>
      <c r="N28" t="s">
        <v>130</v>
      </c>
      <c r="O28" t="s">
        <v>130</v>
      </c>
      <c r="P28" t="s">
        <v>129</v>
      </c>
      <c r="Q28">
        <v>7</v>
      </c>
      <c r="R28">
        <v>48724</v>
      </c>
    </row>
    <row r="29" spans="1:18" x14ac:dyDescent="0.25">
      <c r="A29">
        <v>60000028</v>
      </c>
      <c r="B29">
        <v>57</v>
      </c>
      <c r="C29" t="s">
        <v>86</v>
      </c>
      <c r="D29" t="s">
        <v>88</v>
      </c>
      <c r="E29" t="s">
        <v>90</v>
      </c>
      <c r="F29" t="s">
        <v>102</v>
      </c>
      <c r="G29">
        <v>10</v>
      </c>
      <c r="H29" t="s">
        <v>108</v>
      </c>
      <c r="I29" t="s">
        <v>147</v>
      </c>
      <c r="J29" t="s">
        <v>75</v>
      </c>
      <c r="K29" t="s">
        <v>49</v>
      </c>
      <c r="L29" t="s">
        <v>10</v>
      </c>
      <c r="M29" t="s">
        <v>130</v>
      </c>
      <c r="N29" t="s">
        <v>130</v>
      </c>
      <c r="O29" t="s">
        <v>130</v>
      </c>
      <c r="P29" t="s">
        <v>129</v>
      </c>
      <c r="Q29">
        <v>6</v>
      </c>
      <c r="R29">
        <v>80630</v>
      </c>
    </row>
    <row r="30" spans="1:18" x14ac:dyDescent="0.25">
      <c r="A30">
        <v>60000029</v>
      </c>
      <c r="B30">
        <v>28</v>
      </c>
      <c r="C30" t="s">
        <v>85</v>
      </c>
      <c r="D30" t="s">
        <v>87</v>
      </c>
      <c r="E30" t="s">
        <v>5</v>
      </c>
      <c r="F30" t="s">
        <v>102</v>
      </c>
      <c r="G30">
        <v>37</v>
      </c>
      <c r="H30" t="s">
        <v>111</v>
      </c>
      <c r="I30" t="s">
        <v>143</v>
      </c>
      <c r="J30" t="s">
        <v>75</v>
      </c>
      <c r="K30" t="s">
        <v>17</v>
      </c>
      <c r="L30" t="s">
        <v>10</v>
      </c>
      <c r="M30" t="s">
        <v>130</v>
      </c>
      <c r="N30" t="s">
        <v>130</v>
      </c>
      <c r="O30" t="s">
        <v>130</v>
      </c>
      <c r="P30" t="s">
        <v>129</v>
      </c>
      <c r="Q30">
        <v>4</v>
      </c>
      <c r="R30">
        <v>57422</v>
      </c>
    </row>
    <row r="31" spans="1:18" x14ac:dyDescent="0.25">
      <c r="A31">
        <v>60000030</v>
      </c>
      <c r="B31">
        <v>55</v>
      </c>
      <c r="C31" t="s">
        <v>85</v>
      </c>
      <c r="D31" t="s">
        <v>88</v>
      </c>
      <c r="E31" t="s">
        <v>97</v>
      </c>
      <c r="F31" t="s">
        <v>102</v>
      </c>
      <c r="G31">
        <v>18</v>
      </c>
      <c r="H31" t="s">
        <v>132</v>
      </c>
      <c r="I31" t="s">
        <v>140</v>
      </c>
      <c r="J31" t="s">
        <v>32</v>
      </c>
      <c r="K31" t="s">
        <v>67</v>
      </c>
      <c r="L31" t="s">
        <v>10</v>
      </c>
      <c r="M31" t="s">
        <v>130</v>
      </c>
      <c r="N31" t="s">
        <v>130</v>
      </c>
      <c r="O31" t="s">
        <v>130</v>
      </c>
      <c r="P31" t="s">
        <v>129</v>
      </c>
      <c r="Q31">
        <v>5</v>
      </c>
      <c r="R31">
        <v>82448</v>
      </c>
    </row>
    <row r="32" spans="1:18" x14ac:dyDescent="0.25">
      <c r="A32">
        <v>60000031</v>
      </c>
      <c r="B32">
        <v>26</v>
      </c>
      <c r="C32" t="s">
        <v>85</v>
      </c>
      <c r="D32" t="s">
        <v>87</v>
      </c>
      <c r="E32" t="s">
        <v>93</v>
      </c>
      <c r="F32" t="s">
        <v>102</v>
      </c>
      <c r="G32">
        <v>34</v>
      </c>
      <c r="H32" t="s">
        <v>111</v>
      </c>
      <c r="I32" t="s">
        <v>148</v>
      </c>
      <c r="J32" t="s">
        <v>53</v>
      </c>
      <c r="K32" t="s">
        <v>72</v>
      </c>
      <c r="L32" t="s">
        <v>10</v>
      </c>
      <c r="M32" t="s">
        <v>130</v>
      </c>
      <c r="N32" t="s">
        <v>130</v>
      </c>
      <c r="O32" t="s">
        <v>130</v>
      </c>
      <c r="P32" t="s">
        <v>130</v>
      </c>
      <c r="Q32">
        <v>0</v>
      </c>
      <c r="R32">
        <v>48511</v>
      </c>
    </row>
    <row r="33" spans="1:18" x14ac:dyDescent="0.25">
      <c r="A33">
        <v>60000032</v>
      </c>
      <c r="B33">
        <v>47</v>
      </c>
      <c r="C33" t="s">
        <v>86</v>
      </c>
      <c r="D33" t="s">
        <v>87</v>
      </c>
      <c r="E33" t="s">
        <v>90</v>
      </c>
      <c r="F33" t="s">
        <v>102</v>
      </c>
      <c r="G33">
        <v>22</v>
      </c>
      <c r="H33" t="s">
        <v>109</v>
      </c>
      <c r="I33" t="s">
        <v>140</v>
      </c>
      <c r="J33" t="s">
        <v>9</v>
      </c>
      <c r="K33" t="s">
        <v>31</v>
      </c>
      <c r="L33" t="s">
        <v>10</v>
      </c>
      <c r="M33" t="s">
        <v>130</v>
      </c>
      <c r="N33" t="s">
        <v>130</v>
      </c>
      <c r="O33" t="s">
        <v>130</v>
      </c>
      <c r="P33" t="s">
        <v>130</v>
      </c>
      <c r="Q33">
        <v>0</v>
      </c>
      <c r="R33">
        <v>60906</v>
      </c>
    </row>
    <row r="34" spans="1:18" x14ac:dyDescent="0.25">
      <c r="A34">
        <v>60000033</v>
      </c>
      <c r="B34">
        <v>48</v>
      </c>
      <c r="C34" t="s">
        <v>86</v>
      </c>
      <c r="D34" t="s">
        <v>87</v>
      </c>
      <c r="E34" t="s">
        <v>98</v>
      </c>
      <c r="F34" t="s">
        <v>102</v>
      </c>
      <c r="G34">
        <v>31</v>
      </c>
      <c r="H34" t="s">
        <v>110</v>
      </c>
      <c r="I34" t="s">
        <v>146</v>
      </c>
      <c r="J34" t="s">
        <v>47</v>
      </c>
      <c r="K34" t="s">
        <v>13</v>
      </c>
      <c r="L34" t="s">
        <v>10</v>
      </c>
      <c r="M34" t="s">
        <v>130</v>
      </c>
      <c r="N34" t="s">
        <v>130</v>
      </c>
      <c r="O34" t="s">
        <v>130</v>
      </c>
      <c r="P34" t="s">
        <v>129</v>
      </c>
      <c r="Q34">
        <v>0</v>
      </c>
      <c r="R34">
        <v>60696</v>
      </c>
    </row>
    <row r="35" spans="1:18" x14ac:dyDescent="0.25">
      <c r="A35">
        <v>60000034</v>
      </c>
      <c r="B35">
        <v>39</v>
      </c>
      <c r="C35" t="s">
        <v>86</v>
      </c>
      <c r="D35" t="s">
        <v>88</v>
      </c>
      <c r="E35" t="s">
        <v>100</v>
      </c>
      <c r="F35" t="s">
        <v>102</v>
      </c>
      <c r="G35">
        <v>20</v>
      </c>
      <c r="H35" t="s">
        <v>109</v>
      </c>
      <c r="I35" t="s">
        <v>55</v>
      </c>
      <c r="J35" t="s">
        <v>53</v>
      </c>
      <c r="K35" t="s">
        <v>72</v>
      </c>
      <c r="L35" t="s">
        <v>10</v>
      </c>
      <c r="M35" t="s">
        <v>130</v>
      </c>
      <c r="N35" t="s">
        <v>130</v>
      </c>
      <c r="O35" t="s">
        <v>130</v>
      </c>
      <c r="P35" t="s">
        <v>130</v>
      </c>
      <c r="Q35">
        <v>0</v>
      </c>
      <c r="R35">
        <v>68931</v>
      </c>
    </row>
    <row r="36" spans="1:18" x14ac:dyDescent="0.25">
      <c r="A36">
        <v>60000035</v>
      </c>
      <c r="B36">
        <v>27</v>
      </c>
      <c r="C36" t="s">
        <v>86</v>
      </c>
      <c r="D36" t="s">
        <v>87</v>
      </c>
      <c r="E36" t="s">
        <v>100</v>
      </c>
      <c r="F36" t="s">
        <v>102</v>
      </c>
      <c r="G36">
        <v>25</v>
      </c>
      <c r="H36" t="s">
        <v>110</v>
      </c>
      <c r="I36" t="s">
        <v>143</v>
      </c>
      <c r="J36" t="s">
        <v>75</v>
      </c>
      <c r="K36" t="s">
        <v>33</v>
      </c>
      <c r="L36" t="s">
        <v>10</v>
      </c>
      <c r="M36" t="s">
        <v>130</v>
      </c>
      <c r="N36" t="s">
        <v>130</v>
      </c>
      <c r="O36" t="s">
        <v>130</v>
      </c>
      <c r="P36" t="s">
        <v>130</v>
      </c>
      <c r="Q36">
        <v>0</v>
      </c>
      <c r="R36">
        <v>72486</v>
      </c>
    </row>
    <row r="37" spans="1:18" x14ac:dyDescent="0.25">
      <c r="A37">
        <v>60000036</v>
      </c>
      <c r="B37">
        <v>50</v>
      </c>
      <c r="C37" t="s">
        <v>85</v>
      </c>
      <c r="D37" t="s">
        <v>88</v>
      </c>
      <c r="E37" t="s">
        <v>98</v>
      </c>
      <c r="F37" t="s">
        <v>102</v>
      </c>
      <c r="G37">
        <v>34</v>
      </c>
      <c r="H37" t="s">
        <v>111</v>
      </c>
      <c r="I37" t="s">
        <v>22</v>
      </c>
      <c r="J37" t="s">
        <v>23</v>
      </c>
      <c r="K37" t="s">
        <v>49</v>
      </c>
      <c r="L37" t="s">
        <v>10</v>
      </c>
      <c r="M37" t="s">
        <v>130</v>
      </c>
      <c r="N37" t="s">
        <v>130</v>
      </c>
      <c r="O37" t="s">
        <v>130</v>
      </c>
      <c r="P37" t="s">
        <v>129</v>
      </c>
      <c r="Q37">
        <v>0</v>
      </c>
      <c r="R37">
        <v>25064</v>
      </c>
    </row>
    <row r="38" spans="1:18" x14ac:dyDescent="0.25">
      <c r="A38">
        <v>60000037</v>
      </c>
      <c r="B38">
        <v>43</v>
      </c>
      <c r="C38" t="s">
        <v>85</v>
      </c>
      <c r="D38" t="s">
        <v>88</v>
      </c>
      <c r="E38" t="s">
        <v>93</v>
      </c>
      <c r="F38" t="s">
        <v>102</v>
      </c>
      <c r="G38">
        <v>27</v>
      </c>
      <c r="H38" t="s">
        <v>110</v>
      </c>
      <c r="I38" t="s">
        <v>11</v>
      </c>
      <c r="J38" t="s">
        <v>32</v>
      </c>
      <c r="K38" t="s">
        <v>68</v>
      </c>
      <c r="L38" t="s">
        <v>10</v>
      </c>
      <c r="M38" t="s">
        <v>130</v>
      </c>
      <c r="N38" t="s">
        <v>130</v>
      </c>
      <c r="O38" t="s">
        <v>130</v>
      </c>
      <c r="P38" t="s">
        <v>130</v>
      </c>
      <c r="Q38">
        <v>0</v>
      </c>
      <c r="R38">
        <v>66485</v>
      </c>
    </row>
    <row r="39" spans="1:18" x14ac:dyDescent="0.25">
      <c r="A39">
        <v>60000038</v>
      </c>
      <c r="B39">
        <v>26</v>
      </c>
      <c r="C39" t="s">
        <v>86</v>
      </c>
      <c r="D39" t="s">
        <v>88</v>
      </c>
      <c r="E39" t="s">
        <v>99</v>
      </c>
      <c r="F39" t="s">
        <v>102</v>
      </c>
      <c r="G39">
        <v>17</v>
      </c>
      <c r="H39" t="s">
        <v>132</v>
      </c>
      <c r="I39" t="s">
        <v>145</v>
      </c>
      <c r="J39" t="s">
        <v>9</v>
      </c>
      <c r="K39" t="s">
        <v>69</v>
      </c>
      <c r="L39" t="s">
        <v>10</v>
      </c>
      <c r="M39" t="s">
        <v>130</v>
      </c>
      <c r="N39" t="s">
        <v>130</v>
      </c>
      <c r="O39" t="s">
        <v>130</v>
      </c>
      <c r="P39" t="s">
        <v>130</v>
      </c>
      <c r="Q39">
        <v>0</v>
      </c>
      <c r="R39">
        <v>32920</v>
      </c>
    </row>
    <row r="40" spans="1:18" x14ac:dyDescent="0.25">
      <c r="A40">
        <v>60000039</v>
      </c>
      <c r="B40">
        <v>23</v>
      </c>
      <c r="C40" t="s">
        <v>85</v>
      </c>
      <c r="D40" t="s">
        <v>87</v>
      </c>
      <c r="E40" t="s">
        <v>91</v>
      </c>
      <c r="F40" t="s">
        <v>102</v>
      </c>
      <c r="G40">
        <v>10</v>
      </c>
      <c r="H40" t="s">
        <v>108</v>
      </c>
      <c r="I40" t="s">
        <v>142</v>
      </c>
      <c r="J40" t="s">
        <v>47</v>
      </c>
      <c r="K40" t="s">
        <v>28</v>
      </c>
      <c r="L40" t="s">
        <v>10</v>
      </c>
      <c r="M40" t="s">
        <v>130</v>
      </c>
      <c r="N40" t="s">
        <v>130</v>
      </c>
      <c r="O40" t="s">
        <v>130</v>
      </c>
      <c r="P40" t="s">
        <v>130</v>
      </c>
      <c r="Q40">
        <v>0</v>
      </c>
      <c r="R40">
        <v>60181</v>
      </c>
    </row>
    <row r="41" spans="1:18" x14ac:dyDescent="0.25">
      <c r="A41">
        <v>60000040</v>
      </c>
      <c r="B41">
        <v>47</v>
      </c>
      <c r="C41" t="s">
        <v>86</v>
      </c>
      <c r="D41" t="s">
        <v>87</v>
      </c>
      <c r="E41" t="s">
        <v>92</v>
      </c>
      <c r="F41" t="s">
        <v>102</v>
      </c>
      <c r="G41">
        <v>28</v>
      </c>
      <c r="H41" t="s">
        <v>110</v>
      </c>
      <c r="I41" t="s">
        <v>146</v>
      </c>
      <c r="J41" t="s">
        <v>23</v>
      </c>
      <c r="K41" t="s">
        <v>49</v>
      </c>
      <c r="L41" t="s">
        <v>10</v>
      </c>
      <c r="M41" t="s">
        <v>130</v>
      </c>
      <c r="N41" t="s">
        <v>130</v>
      </c>
      <c r="O41" t="s">
        <v>130</v>
      </c>
      <c r="P41" t="s">
        <v>129</v>
      </c>
      <c r="Q41">
        <v>7</v>
      </c>
      <c r="R41">
        <v>64200</v>
      </c>
    </row>
    <row r="42" spans="1:18" x14ac:dyDescent="0.25">
      <c r="A42">
        <v>60000041</v>
      </c>
      <c r="B42">
        <v>54</v>
      </c>
      <c r="C42" t="s">
        <v>86</v>
      </c>
      <c r="D42" t="s">
        <v>87</v>
      </c>
      <c r="E42" t="s">
        <v>96</v>
      </c>
      <c r="F42" t="s">
        <v>102</v>
      </c>
      <c r="G42">
        <v>32</v>
      </c>
      <c r="H42" t="s">
        <v>111</v>
      </c>
      <c r="I42" t="s">
        <v>139</v>
      </c>
      <c r="J42" t="s">
        <v>12</v>
      </c>
      <c r="K42" t="s">
        <v>69</v>
      </c>
      <c r="L42" t="s">
        <v>10</v>
      </c>
      <c r="M42" t="s">
        <v>130</v>
      </c>
      <c r="N42" t="s">
        <v>130</v>
      </c>
      <c r="O42" t="s">
        <v>130</v>
      </c>
      <c r="P42" t="s">
        <v>130</v>
      </c>
      <c r="Q42">
        <v>0</v>
      </c>
      <c r="R42">
        <v>27376</v>
      </c>
    </row>
    <row r="43" spans="1:18" x14ac:dyDescent="0.25">
      <c r="A43">
        <v>60000042</v>
      </c>
      <c r="B43">
        <v>47</v>
      </c>
      <c r="C43" t="s">
        <v>85</v>
      </c>
      <c r="D43" t="s">
        <v>88</v>
      </c>
      <c r="E43" t="s">
        <v>96</v>
      </c>
      <c r="F43" t="s">
        <v>102</v>
      </c>
      <c r="G43">
        <v>36</v>
      </c>
      <c r="H43" t="s">
        <v>111</v>
      </c>
      <c r="I43" t="s">
        <v>143</v>
      </c>
      <c r="J43" t="s">
        <v>53</v>
      </c>
      <c r="K43" t="s">
        <v>13</v>
      </c>
      <c r="L43" t="s">
        <v>10</v>
      </c>
      <c r="M43" t="s">
        <v>130</v>
      </c>
      <c r="N43" t="s">
        <v>130</v>
      </c>
      <c r="O43" t="s">
        <v>130</v>
      </c>
      <c r="P43" t="s">
        <v>129</v>
      </c>
      <c r="Q43">
        <v>6</v>
      </c>
      <c r="R43">
        <v>73100</v>
      </c>
    </row>
    <row r="44" spans="1:18" x14ac:dyDescent="0.25">
      <c r="A44">
        <v>60000043</v>
      </c>
      <c r="B44">
        <v>37</v>
      </c>
      <c r="C44" t="s">
        <v>86</v>
      </c>
      <c r="D44" t="s">
        <v>88</v>
      </c>
      <c r="E44" t="s">
        <v>98</v>
      </c>
      <c r="F44" t="s">
        <v>102</v>
      </c>
      <c r="G44">
        <v>33</v>
      </c>
      <c r="H44" t="s">
        <v>111</v>
      </c>
      <c r="I44" t="s">
        <v>140</v>
      </c>
      <c r="J44" t="s">
        <v>47</v>
      </c>
      <c r="K44" t="s">
        <v>68</v>
      </c>
      <c r="L44" t="s">
        <v>10</v>
      </c>
      <c r="M44" t="s">
        <v>130</v>
      </c>
      <c r="N44" t="s">
        <v>130</v>
      </c>
      <c r="O44" t="s">
        <v>130</v>
      </c>
      <c r="P44" t="s">
        <v>130</v>
      </c>
      <c r="Q44">
        <v>0</v>
      </c>
      <c r="R44">
        <v>51512</v>
      </c>
    </row>
    <row r="45" spans="1:18" x14ac:dyDescent="0.25">
      <c r="A45">
        <v>60000044</v>
      </c>
      <c r="B45">
        <v>65</v>
      </c>
      <c r="C45" t="s">
        <v>86</v>
      </c>
      <c r="D45" t="s">
        <v>88</v>
      </c>
      <c r="E45" t="s">
        <v>90</v>
      </c>
      <c r="F45" t="s">
        <v>102</v>
      </c>
      <c r="G45">
        <v>24</v>
      </c>
      <c r="H45" t="s">
        <v>109</v>
      </c>
      <c r="I45" t="s">
        <v>149</v>
      </c>
      <c r="J45" t="s">
        <v>25</v>
      </c>
      <c r="K45" t="s">
        <v>73</v>
      </c>
      <c r="L45" t="s">
        <v>10</v>
      </c>
      <c r="M45" t="s">
        <v>130</v>
      </c>
      <c r="N45" t="s">
        <v>130</v>
      </c>
      <c r="O45" t="s">
        <v>130</v>
      </c>
      <c r="P45" t="s">
        <v>129</v>
      </c>
      <c r="Q45">
        <v>4</v>
      </c>
      <c r="R45">
        <v>32853</v>
      </c>
    </row>
    <row r="46" spans="1:18" x14ac:dyDescent="0.25">
      <c r="A46">
        <v>60000045</v>
      </c>
      <c r="B46">
        <v>42</v>
      </c>
      <c r="C46" t="s">
        <v>86</v>
      </c>
      <c r="D46" t="s">
        <v>87</v>
      </c>
      <c r="E46" t="s">
        <v>97</v>
      </c>
      <c r="F46" t="s">
        <v>102</v>
      </c>
      <c r="G46">
        <v>34</v>
      </c>
      <c r="H46" t="s">
        <v>111</v>
      </c>
      <c r="I46" t="s">
        <v>148</v>
      </c>
      <c r="J46" t="s">
        <v>23</v>
      </c>
      <c r="K46" t="s">
        <v>66</v>
      </c>
      <c r="L46" t="s">
        <v>10</v>
      </c>
      <c r="M46" t="s">
        <v>130</v>
      </c>
      <c r="N46" t="s">
        <v>130</v>
      </c>
      <c r="O46" t="s">
        <v>130</v>
      </c>
      <c r="P46" t="s">
        <v>130</v>
      </c>
      <c r="Q46">
        <v>0</v>
      </c>
      <c r="R46">
        <v>33519</v>
      </c>
    </row>
    <row r="47" spans="1:18" x14ac:dyDescent="0.25">
      <c r="A47">
        <v>60000046</v>
      </c>
      <c r="B47">
        <v>29</v>
      </c>
      <c r="C47" t="s">
        <v>86</v>
      </c>
      <c r="D47" t="s">
        <v>88</v>
      </c>
      <c r="E47" t="s">
        <v>99</v>
      </c>
      <c r="F47" t="s">
        <v>102</v>
      </c>
      <c r="G47">
        <v>23</v>
      </c>
      <c r="H47" t="s">
        <v>109</v>
      </c>
      <c r="I47" t="s">
        <v>147</v>
      </c>
      <c r="J47" t="s">
        <v>53</v>
      </c>
      <c r="K47" t="s">
        <v>34</v>
      </c>
      <c r="L47" t="s">
        <v>10</v>
      </c>
      <c r="M47" t="s">
        <v>130</v>
      </c>
      <c r="N47" t="s">
        <v>130</v>
      </c>
      <c r="O47" t="s">
        <v>130</v>
      </c>
      <c r="P47" t="s">
        <v>130</v>
      </c>
      <c r="Q47">
        <v>0</v>
      </c>
      <c r="R47">
        <v>47392</v>
      </c>
    </row>
    <row r="48" spans="1:18" x14ac:dyDescent="0.25">
      <c r="A48">
        <v>60000047</v>
      </c>
      <c r="B48">
        <v>21</v>
      </c>
      <c r="C48" t="s">
        <v>85</v>
      </c>
      <c r="D48" t="s">
        <v>87</v>
      </c>
      <c r="E48" t="s">
        <v>98</v>
      </c>
      <c r="F48" t="s">
        <v>102</v>
      </c>
      <c r="G48">
        <v>16</v>
      </c>
      <c r="H48" t="s">
        <v>132</v>
      </c>
      <c r="I48" t="s">
        <v>22</v>
      </c>
      <c r="J48" t="s">
        <v>25</v>
      </c>
      <c r="K48" t="s">
        <v>36</v>
      </c>
      <c r="L48" t="s">
        <v>10</v>
      </c>
      <c r="M48" t="s">
        <v>130</v>
      </c>
      <c r="N48" t="s">
        <v>130</v>
      </c>
      <c r="O48" t="s">
        <v>130</v>
      </c>
      <c r="P48" t="s">
        <v>129</v>
      </c>
      <c r="Q48">
        <v>7</v>
      </c>
      <c r="R48">
        <v>81471</v>
      </c>
    </row>
    <row r="49" spans="1:18" x14ac:dyDescent="0.25">
      <c r="A49">
        <v>60000048</v>
      </c>
      <c r="B49">
        <v>65</v>
      </c>
      <c r="C49" t="s">
        <v>85</v>
      </c>
      <c r="D49" t="s">
        <v>87</v>
      </c>
      <c r="E49" t="s">
        <v>97</v>
      </c>
      <c r="F49" t="s">
        <v>102</v>
      </c>
      <c r="G49">
        <v>36</v>
      </c>
      <c r="H49" t="s">
        <v>111</v>
      </c>
      <c r="I49" t="s">
        <v>144</v>
      </c>
      <c r="J49" t="s">
        <v>32</v>
      </c>
      <c r="K49" t="s">
        <v>66</v>
      </c>
      <c r="L49" t="s">
        <v>10</v>
      </c>
      <c r="M49" t="s">
        <v>130</v>
      </c>
      <c r="N49" t="s">
        <v>130</v>
      </c>
      <c r="O49" t="s">
        <v>130</v>
      </c>
      <c r="P49" t="s">
        <v>129</v>
      </c>
      <c r="Q49">
        <v>4</v>
      </c>
      <c r="R49">
        <v>46613</v>
      </c>
    </row>
    <row r="50" spans="1:18" x14ac:dyDescent="0.25">
      <c r="A50">
        <v>60000049</v>
      </c>
      <c r="B50">
        <v>47</v>
      </c>
      <c r="C50" t="s">
        <v>86</v>
      </c>
      <c r="D50" t="s">
        <v>88</v>
      </c>
      <c r="E50" t="s">
        <v>5</v>
      </c>
      <c r="F50" t="s">
        <v>102</v>
      </c>
      <c r="G50">
        <v>12</v>
      </c>
      <c r="H50" t="s">
        <v>132</v>
      </c>
      <c r="I50" t="s">
        <v>55</v>
      </c>
      <c r="J50" t="s">
        <v>12</v>
      </c>
      <c r="K50" t="s">
        <v>35</v>
      </c>
      <c r="L50" t="s">
        <v>10</v>
      </c>
      <c r="M50" t="s">
        <v>130</v>
      </c>
      <c r="N50" t="s">
        <v>130</v>
      </c>
      <c r="O50" t="s">
        <v>130</v>
      </c>
      <c r="P50" t="s">
        <v>129</v>
      </c>
      <c r="Q50">
        <v>0</v>
      </c>
      <c r="R50">
        <v>75842</v>
      </c>
    </row>
    <row r="51" spans="1:18" x14ac:dyDescent="0.25">
      <c r="A51">
        <v>60000050</v>
      </c>
      <c r="B51">
        <v>47</v>
      </c>
      <c r="C51" t="s">
        <v>85</v>
      </c>
      <c r="D51" t="s">
        <v>88</v>
      </c>
      <c r="E51" t="s">
        <v>5</v>
      </c>
      <c r="F51" t="s">
        <v>102</v>
      </c>
      <c r="G51">
        <v>18</v>
      </c>
      <c r="H51" t="s">
        <v>132</v>
      </c>
      <c r="I51" t="s">
        <v>144</v>
      </c>
      <c r="J51" t="s">
        <v>16</v>
      </c>
      <c r="K51" t="s">
        <v>57</v>
      </c>
      <c r="L51" t="s">
        <v>10</v>
      </c>
      <c r="M51" t="s">
        <v>130</v>
      </c>
      <c r="N51" t="s">
        <v>130</v>
      </c>
      <c r="O51" t="s">
        <v>130</v>
      </c>
      <c r="P51" t="s">
        <v>130</v>
      </c>
      <c r="Q51">
        <v>0</v>
      </c>
      <c r="R51">
        <v>77615</v>
      </c>
    </row>
    <row r="52" spans="1:18" x14ac:dyDescent="0.25">
      <c r="A52">
        <v>60000051</v>
      </c>
      <c r="B52">
        <v>48</v>
      </c>
      <c r="C52" t="s">
        <v>86</v>
      </c>
      <c r="D52" t="s">
        <v>87</v>
      </c>
      <c r="E52" t="s">
        <v>99</v>
      </c>
      <c r="F52" t="s">
        <v>102</v>
      </c>
      <c r="G52">
        <v>31</v>
      </c>
      <c r="H52" t="s">
        <v>110</v>
      </c>
      <c r="I52" t="s">
        <v>146</v>
      </c>
      <c r="J52" t="s">
        <v>21</v>
      </c>
      <c r="K52" t="s">
        <v>22</v>
      </c>
      <c r="L52" t="s">
        <v>10</v>
      </c>
      <c r="M52" t="s">
        <v>130</v>
      </c>
      <c r="N52" t="s">
        <v>130</v>
      </c>
      <c r="O52" t="s">
        <v>130</v>
      </c>
      <c r="P52" t="s">
        <v>130</v>
      </c>
      <c r="Q52">
        <v>0</v>
      </c>
      <c r="R52">
        <v>46121</v>
      </c>
    </row>
    <row r="53" spans="1:18" x14ac:dyDescent="0.25">
      <c r="A53">
        <v>60000052</v>
      </c>
      <c r="B53">
        <v>24</v>
      </c>
      <c r="C53" t="s">
        <v>85</v>
      </c>
      <c r="D53" t="s">
        <v>87</v>
      </c>
      <c r="E53" t="s">
        <v>93</v>
      </c>
      <c r="F53" t="s">
        <v>102</v>
      </c>
      <c r="G53">
        <v>25</v>
      </c>
      <c r="H53" t="s">
        <v>110</v>
      </c>
      <c r="I53" t="s">
        <v>146</v>
      </c>
      <c r="J53" t="s">
        <v>75</v>
      </c>
      <c r="K53" t="s">
        <v>45</v>
      </c>
      <c r="L53" t="s">
        <v>10</v>
      </c>
      <c r="M53" t="s">
        <v>130</v>
      </c>
      <c r="N53" t="s">
        <v>130</v>
      </c>
      <c r="O53" t="s">
        <v>130</v>
      </c>
      <c r="P53" t="s">
        <v>129</v>
      </c>
      <c r="Q53">
        <v>6</v>
      </c>
      <c r="R53">
        <v>39270</v>
      </c>
    </row>
    <row r="54" spans="1:18" x14ac:dyDescent="0.25">
      <c r="A54">
        <v>60000053</v>
      </c>
      <c r="B54">
        <v>61</v>
      </c>
      <c r="C54" t="s">
        <v>85</v>
      </c>
      <c r="D54" t="s">
        <v>87</v>
      </c>
      <c r="E54" t="s">
        <v>91</v>
      </c>
      <c r="F54" t="s">
        <v>102</v>
      </c>
      <c r="G54">
        <v>10</v>
      </c>
      <c r="H54" t="s">
        <v>108</v>
      </c>
      <c r="I54" t="s">
        <v>144</v>
      </c>
      <c r="J54" t="s">
        <v>18</v>
      </c>
      <c r="K54" t="s">
        <v>44</v>
      </c>
      <c r="L54" t="s">
        <v>10</v>
      </c>
      <c r="M54" t="s">
        <v>130</v>
      </c>
      <c r="N54" t="s">
        <v>130</v>
      </c>
      <c r="O54" t="s">
        <v>130</v>
      </c>
      <c r="P54" t="s">
        <v>129</v>
      </c>
      <c r="Q54">
        <v>5</v>
      </c>
      <c r="R54">
        <v>77754</v>
      </c>
    </row>
    <row r="55" spans="1:18" x14ac:dyDescent="0.25">
      <c r="A55">
        <v>60000054</v>
      </c>
      <c r="B55">
        <v>45</v>
      </c>
      <c r="C55" t="s">
        <v>85</v>
      </c>
      <c r="D55" t="s">
        <v>87</v>
      </c>
      <c r="E55" t="s">
        <v>96</v>
      </c>
      <c r="F55" t="s">
        <v>102</v>
      </c>
      <c r="G55">
        <v>15</v>
      </c>
      <c r="H55" t="s">
        <v>132</v>
      </c>
      <c r="I55" t="s">
        <v>146</v>
      </c>
      <c r="J55" t="s">
        <v>62</v>
      </c>
      <c r="K55" t="s">
        <v>22</v>
      </c>
      <c r="L55" t="s">
        <v>10</v>
      </c>
      <c r="M55" t="s">
        <v>130</v>
      </c>
      <c r="N55" t="s">
        <v>130</v>
      </c>
      <c r="O55" t="s">
        <v>130</v>
      </c>
      <c r="P55" t="s">
        <v>129</v>
      </c>
      <c r="Q55">
        <v>3</v>
      </c>
      <c r="R55">
        <v>55314</v>
      </c>
    </row>
    <row r="56" spans="1:18" x14ac:dyDescent="0.25">
      <c r="A56">
        <v>60000055</v>
      </c>
      <c r="B56">
        <v>60</v>
      </c>
      <c r="C56" t="s">
        <v>85</v>
      </c>
      <c r="D56" t="s">
        <v>88</v>
      </c>
      <c r="E56" t="s">
        <v>96</v>
      </c>
      <c r="F56" t="s">
        <v>102</v>
      </c>
      <c r="G56">
        <v>28</v>
      </c>
      <c r="H56" t="s">
        <v>110</v>
      </c>
      <c r="I56" t="s">
        <v>11</v>
      </c>
      <c r="J56" t="s">
        <v>9</v>
      </c>
      <c r="K56" t="s">
        <v>43</v>
      </c>
      <c r="L56" t="s">
        <v>10</v>
      </c>
      <c r="M56" t="s">
        <v>130</v>
      </c>
      <c r="N56" t="s">
        <v>130</v>
      </c>
      <c r="O56" t="s">
        <v>130</v>
      </c>
      <c r="P56" t="s">
        <v>129</v>
      </c>
      <c r="Q56">
        <v>5</v>
      </c>
      <c r="R56">
        <v>44686</v>
      </c>
    </row>
    <row r="57" spans="1:18" x14ac:dyDescent="0.25">
      <c r="A57">
        <v>60000056</v>
      </c>
      <c r="B57">
        <v>27</v>
      </c>
      <c r="C57" t="s">
        <v>86</v>
      </c>
      <c r="D57" t="s">
        <v>87</v>
      </c>
      <c r="E57" t="s">
        <v>97</v>
      </c>
      <c r="F57" t="s">
        <v>102</v>
      </c>
      <c r="G57">
        <v>16</v>
      </c>
      <c r="H57" t="s">
        <v>132</v>
      </c>
      <c r="I57" t="s">
        <v>146</v>
      </c>
      <c r="J57" t="s">
        <v>25</v>
      </c>
      <c r="K57" t="s">
        <v>49</v>
      </c>
      <c r="L57" t="s">
        <v>10</v>
      </c>
      <c r="M57" t="s">
        <v>130</v>
      </c>
      <c r="N57" t="s">
        <v>130</v>
      </c>
      <c r="O57" t="s">
        <v>130</v>
      </c>
      <c r="P57" t="s">
        <v>130</v>
      </c>
      <c r="Q57">
        <v>0</v>
      </c>
      <c r="R57">
        <v>79381</v>
      </c>
    </row>
    <row r="58" spans="1:18" x14ac:dyDescent="0.25">
      <c r="A58">
        <v>60000057</v>
      </c>
      <c r="B58">
        <v>29</v>
      </c>
      <c r="C58" t="s">
        <v>85</v>
      </c>
      <c r="D58" t="s">
        <v>87</v>
      </c>
      <c r="E58" t="s">
        <v>99</v>
      </c>
      <c r="F58" t="s">
        <v>102</v>
      </c>
      <c r="G58">
        <v>25</v>
      </c>
      <c r="H58" t="s">
        <v>110</v>
      </c>
      <c r="I58" t="s">
        <v>149</v>
      </c>
      <c r="J58" t="s">
        <v>16</v>
      </c>
      <c r="K58" t="s">
        <v>63</v>
      </c>
      <c r="L58" t="s">
        <v>10</v>
      </c>
      <c r="M58" t="s">
        <v>130</v>
      </c>
      <c r="N58" t="s">
        <v>130</v>
      </c>
      <c r="O58" t="s">
        <v>130</v>
      </c>
      <c r="P58" t="s">
        <v>129</v>
      </c>
      <c r="Q58">
        <v>4</v>
      </c>
      <c r="R58">
        <v>55151</v>
      </c>
    </row>
    <row r="59" spans="1:18" x14ac:dyDescent="0.25">
      <c r="A59">
        <v>60000058</v>
      </c>
      <c r="B59">
        <v>59</v>
      </c>
      <c r="C59" t="s">
        <v>85</v>
      </c>
      <c r="D59" t="s">
        <v>88</v>
      </c>
      <c r="E59" t="s">
        <v>97</v>
      </c>
      <c r="F59" t="s">
        <v>102</v>
      </c>
      <c r="G59">
        <v>27</v>
      </c>
      <c r="H59" t="s">
        <v>110</v>
      </c>
      <c r="I59" t="s">
        <v>11</v>
      </c>
      <c r="J59" t="s">
        <v>47</v>
      </c>
      <c r="K59" t="s">
        <v>72</v>
      </c>
      <c r="L59" t="s">
        <v>10</v>
      </c>
      <c r="M59" t="s">
        <v>130</v>
      </c>
      <c r="N59" t="s">
        <v>130</v>
      </c>
      <c r="O59" t="s">
        <v>130</v>
      </c>
      <c r="P59" t="s">
        <v>129</v>
      </c>
      <c r="Q59">
        <v>1</v>
      </c>
      <c r="R59">
        <v>65029</v>
      </c>
    </row>
    <row r="60" spans="1:18" x14ac:dyDescent="0.25">
      <c r="A60">
        <v>60000059</v>
      </c>
      <c r="B60">
        <v>56</v>
      </c>
      <c r="C60" t="s">
        <v>86</v>
      </c>
      <c r="D60" t="s">
        <v>87</v>
      </c>
      <c r="E60" t="s">
        <v>99</v>
      </c>
      <c r="F60" t="s">
        <v>102</v>
      </c>
      <c r="G60">
        <v>20</v>
      </c>
      <c r="H60" t="s">
        <v>109</v>
      </c>
      <c r="I60" t="s">
        <v>139</v>
      </c>
      <c r="J60" t="s">
        <v>14</v>
      </c>
      <c r="K60" t="s">
        <v>44</v>
      </c>
      <c r="L60" t="s">
        <v>10</v>
      </c>
      <c r="M60" t="s">
        <v>130</v>
      </c>
      <c r="N60" t="s">
        <v>130</v>
      </c>
      <c r="O60" t="s">
        <v>130</v>
      </c>
      <c r="P60" t="s">
        <v>129</v>
      </c>
      <c r="Q60">
        <v>5</v>
      </c>
      <c r="R60">
        <v>26628</v>
      </c>
    </row>
    <row r="61" spans="1:18" x14ac:dyDescent="0.25">
      <c r="A61">
        <v>60000060</v>
      </c>
      <c r="B61">
        <v>42</v>
      </c>
      <c r="C61" t="s">
        <v>85</v>
      </c>
      <c r="D61" t="s">
        <v>87</v>
      </c>
      <c r="E61" t="s">
        <v>91</v>
      </c>
      <c r="F61" t="s">
        <v>102</v>
      </c>
      <c r="G61">
        <v>19</v>
      </c>
      <c r="H61" t="s">
        <v>109</v>
      </c>
      <c r="I61" t="s">
        <v>29</v>
      </c>
      <c r="J61" t="s">
        <v>18</v>
      </c>
      <c r="K61" t="s">
        <v>52</v>
      </c>
      <c r="L61" t="s">
        <v>10</v>
      </c>
      <c r="M61" t="s">
        <v>130</v>
      </c>
      <c r="N61" t="s">
        <v>130</v>
      </c>
      <c r="O61" t="s">
        <v>130</v>
      </c>
      <c r="P61" t="s">
        <v>130</v>
      </c>
      <c r="Q61">
        <v>0</v>
      </c>
      <c r="R61">
        <v>49132</v>
      </c>
    </row>
    <row r="62" spans="1:18" x14ac:dyDescent="0.25">
      <c r="A62">
        <v>60000061</v>
      </c>
      <c r="B62">
        <v>52</v>
      </c>
      <c r="C62" t="s">
        <v>86</v>
      </c>
      <c r="D62" t="s">
        <v>87</v>
      </c>
      <c r="E62" t="s">
        <v>93</v>
      </c>
      <c r="F62" t="s">
        <v>102</v>
      </c>
      <c r="G62">
        <v>31</v>
      </c>
      <c r="H62" t="s">
        <v>110</v>
      </c>
      <c r="I62" t="s">
        <v>150</v>
      </c>
      <c r="J62" t="s">
        <v>32</v>
      </c>
      <c r="K62" t="s">
        <v>17</v>
      </c>
      <c r="L62" t="s">
        <v>10</v>
      </c>
      <c r="M62" t="s">
        <v>130</v>
      </c>
      <c r="N62" t="s">
        <v>130</v>
      </c>
      <c r="O62" t="s">
        <v>130</v>
      </c>
      <c r="P62" t="s">
        <v>129</v>
      </c>
      <c r="Q62">
        <v>2</v>
      </c>
      <c r="R62">
        <v>75641</v>
      </c>
    </row>
    <row r="63" spans="1:18" x14ac:dyDescent="0.25">
      <c r="A63">
        <v>60000062</v>
      </c>
      <c r="B63">
        <v>44</v>
      </c>
      <c r="C63" t="s">
        <v>86</v>
      </c>
      <c r="D63" t="s">
        <v>88</v>
      </c>
      <c r="E63" t="s">
        <v>91</v>
      </c>
      <c r="F63" t="s">
        <v>102</v>
      </c>
      <c r="G63">
        <v>18</v>
      </c>
      <c r="H63" t="s">
        <v>132</v>
      </c>
      <c r="I63" t="s">
        <v>146</v>
      </c>
      <c r="J63" t="s">
        <v>9</v>
      </c>
      <c r="K63" t="s">
        <v>43</v>
      </c>
      <c r="L63" t="s">
        <v>10</v>
      </c>
      <c r="M63" t="s">
        <v>130</v>
      </c>
      <c r="N63" t="s">
        <v>130</v>
      </c>
      <c r="O63" t="s">
        <v>130</v>
      </c>
      <c r="P63" t="s">
        <v>130</v>
      </c>
      <c r="Q63">
        <v>0</v>
      </c>
      <c r="R63">
        <v>46107</v>
      </c>
    </row>
    <row r="64" spans="1:18" x14ac:dyDescent="0.25">
      <c r="A64">
        <v>60000063</v>
      </c>
      <c r="B64">
        <v>37</v>
      </c>
      <c r="C64" t="s">
        <v>86</v>
      </c>
      <c r="D64" t="s">
        <v>88</v>
      </c>
      <c r="E64" t="s">
        <v>5</v>
      </c>
      <c r="F64" t="s">
        <v>102</v>
      </c>
      <c r="G64">
        <v>29</v>
      </c>
      <c r="H64" t="s">
        <v>110</v>
      </c>
      <c r="I64" t="s">
        <v>29</v>
      </c>
      <c r="J64" t="s">
        <v>53</v>
      </c>
      <c r="K64" t="s">
        <v>31</v>
      </c>
      <c r="L64" t="s">
        <v>10</v>
      </c>
      <c r="M64" t="s">
        <v>130</v>
      </c>
      <c r="N64" t="s">
        <v>130</v>
      </c>
      <c r="O64" t="s">
        <v>130</v>
      </c>
      <c r="P64" t="s">
        <v>129</v>
      </c>
      <c r="Q64">
        <v>5</v>
      </c>
      <c r="R64">
        <v>54603</v>
      </c>
    </row>
    <row r="65" spans="1:18" x14ac:dyDescent="0.25">
      <c r="A65">
        <v>60000064</v>
      </c>
      <c r="B65">
        <v>20</v>
      </c>
      <c r="C65" t="s">
        <v>86</v>
      </c>
      <c r="D65" t="s">
        <v>88</v>
      </c>
      <c r="E65" t="s">
        <v>97</v>
      </c>
      <c r="F65" t="s">
        <v>102</v>
      </c>
      <c r="G65">
        <v>12</v>
      </c>
      <c r="H65" t="s">
        <v>132</v>
      </c>
      <c r="I65" t="s">
        <v>147</v>
      </c>
      <c r="J65" t="s">
        <v>18</v>
      </c>
      <c r="K65" t="s">
        <v>66</v>
      </c>
      <c r="L65" t="s">
        <v>10</v>
      </c>
      <c r="M65" t="s">
        <v>130</v>
      </c>
      <c r="N65" t="s">
        <v>130</v>
      </c>
      <c r="O65" t="s">
        <v>130</v>
      </c>
      <c r="P65" t="s">
        <v>129</v>
      </c>
      <c r="Q65">
        <v>2</v>
      </c>
      <c r="R65">
        <v>76546</v>
      </c>
    </row>
    <row r="66" spans="1:18" x14ac:dyDescent="0.25">
      <c r="A66">
        <v>60000065</v>
      </c>
      <c r="B66">
        <v>20</v>
      </c>
      <c r="C66" t="s">
        <v>85</v>
      </c>
      <c r="D66" t="s">
        <v>87</v>
      </c>
      <c r="E66" t="s">
        <v>91</v>
      </c>
      <c r="F66" t="s">
        <v>102</v>
      </c>
      <c r="G66">
        <v>14</v>
      </c>
      <c r="H66" t="s">
        <v>132</v>
      </c>
      <c r="I66" t="s">
        <v>22</v>
      </c>
      <c r="J66" t="s">
        <v>12</v>
      </c>
      <c r="K66" t="s">
        <v>29</v>
      </c>
      <c r="L66" t="s">
        <v>10</v>
      </c>
      <c r="M66" t="s">
        <v>130</v>
      </c>
      <c r="N66" t="s">
        <v>130</v>
      </c>
      <c r="O66" t="s">
        <v>130</v>
      </c>
      <c r="P66" t="s">
        <v>129</v>
      </c>
      <c r="Q66">
        <v>4</v>
      </c>
      <c r="R66">
        <v>51693</v>
      </c>
    </row>
    <row r="67" spans="1:18" x14ac:dyDescent="0.25">
      <c r="A67">
        <v>60000066</v>
      </c>
      <c r="B67">
        <v>43</v>
      </c>
      <c r="C67" t="s">
        <v>85</v>
      </c>
      <c r="D67" t="s">
        <v>87</v>
      </c>
      <c r="E67" t="s">
        <v>93</v>
      </c>
      <c r="F67" t="s">
        <v>102</v>
      </c>
      <c r="G67">
        <v>21</v>
      </c>
      <c r="H67" t="s">
        <v>109</v>
      </c>
      <c r="I67" t="s">
        <v>11</v>
      </c>
      <c r="J67" t="s">
        <v>14</v>
      </c>
      <c r="K67" t="s">
        <v>28</v>
      </c>
      <c r="L67" t="s">
        <v>10</v>
      </c>
      <c r="M67" t="s">
        <v>130</v>
      </c>
      <c r="N67" t="s">
        <v>130</v>
      </c>
      <c r="O67" t="s">
        <v>130</v>
      </c>
      <c r="P67" t="s">
        <v>129</v>
      </c>
      <c r="Q67">
        <v>2</v>
      </c>
      <c r="R67">
        <v>74562</v>
      </c>
    </row>
    <row r="68" spans="1:18" x14ac:dyDescent="0.25">
      <c r="A68">
        <v>60000067</v>
      </c>
      <c r="B68">
        <v>48</v>
      </c>
      <c r="C68" t="s">
        <v>86</v>
      </c>
      <c r="D68" t="s">
        <v>87</v>
      </c>
      <c r="E68" t="s">
        <v>91</v>
      </c>
      <c r="F68" t="s">
        <v>102</v>
      </c>
      <c r="G68">
        <v>15</v>
      </c>
      <c r="H68" t="s">
        <v>132</v>
      </c>
      <c r="I68" t="s">
        <v>141</v>
      </c>
      <c r="J68" t="s">
        <v>21</v>
      </c>
      <c r="K68" t="s">
        <v>61</v>
      </c>
      <c r="L68" t="s">
        <v>10</v>
      </c>
      <c r="M68" t="s">
        <v>130</v>
      </c>
      <c r="N68" t="s">
        <v>130</v>
      </c>
      <c r="O68" t="s">
        <v>130</v>
      </c>
      <c r="P68" t="s">
        <v>130</v>
      </c>
      <c r="Q68">
        <v>0</v>
      </c>
      <c r="R68">
        <v>23033</v>
      </c>
    </row>
    <row r="69" spans="1:18" x14ac:dyDescent="0.25">
      <c r="A69">
        <v>60000068</v>
      </c>
      <c r="B69">
        <v>57</v>
      </c>
      <c r="C69" t="s">
        <v>86</v>
      </c>
      <c r="D69" t="s">
        <v>88</v>
      </c>
      <c r="E69" t="s">
        <v>99</v>
      </c>
      <c r="F69" t="s">
        <v>102</v>
      </c>
      <c r="G69">
        <v>32</v>
      </c>
      <c r="H69" t="s">
        <v>111</v>
      </c>
      <c r="I69" t="s">
        <v>29</v>
      </c>
      <c r="J69" t="s">
        <v>53</v>
      </c>
      <c r="K69" t="s">
        <v>67</v>
      </c>
      <c r="L69" t="s">
        <v>10</v>
      </c>
      <c r="M69" t="s">
        <v>130</v>
      </c>
      <c r="N69" t="s">
        <v>130</v>
      </c>
      <c r="O69" t="s">
        <v>130</v>
      </c>
      <c r="P69" t="s">
        <v>129</v>
      </c>
      <c r="Q69">
        <v>7</v>
      </c>
      <c r="R69">
        <v>49487</v>
      </c>
    </row>
    <row r="70" spans="1:18" x14ac:dyDescent="0.25">
      <c r="A70">
        <v>60000069</v>
      </c>
      <c r="B70">
        <v>20</v>
      </c>
      <c r="C70" t="s">
        <v>85</v>
      </c>
      <c r="D70" t="s">
        <v>88</v>
      </c>
      <c r="E70" t="s">
        <v>100</v>
      </c>
      <c r="F70" t="s">
        <v>102</v>
      </c>
      <c r="G70">
        <v>13</v>
      </c>
      <c r="H70" t="s">
        <v>132</v>
      </c>
      <c r="I70" t="s">
        <v>139</v>
      </c>
      <c r="J70" t="s">
        <v>62</v>
      </c>
      <c r="K70" t="s">
        <v>58</v>
      </c>
      <c r="L70" t="s">
        <v>10</v>
      </c>
      <c r="M70" t="s">
        <v>130</v>
      </c>
      <c r="N70" t="s">
        <v>130</v>
      </c>
      <c r="O70" t="s">
        <v>130</v>
      </c>
      <c r="P70" t="s">
        <v>129</v>
      </c>
      <c r="Q70">
        <v>6</v>
      </c>
      <c r="R70">
        <v>81554</v>
      </c>
    </row>
    <row r="71" spans="1:18" x14ac:dyDescent="0.25">
      <c r="A71">
        <v>60000070</v>
      </c>
      <c r="B71">
        <v>63</v>
      </c>
      <c r="C71" t="s">
        <v>86</v>
      </c>
      <c r="D71" t="s">
        <v>88</v>
      </c>
      <c r="E71" t="s">
        <v>100</v>
      </c>
      <c r="F71" t="s">
        <v>102</v>
      </c>
      <c r="G71">
        <v>23</v>
      </c>
      <c r="H71" t="s">
        <v>109</v>
      </c>
      <c r="I71" t="s">
        <v>148</v>
      </c>
      <c r="J71" t="s">
        <v>23</v>
      </c>
      <c r="K71" t="s">
        <v>48</v>
      </c>
      <c r="L71" t="s">
        <v>10</v>
      </c>
      <c r="M71" t="s">
        <v>130</v>
      </c>
      <c r="N71" t="s">
        <v>130</v>
      </c>
      <c r="O71" t="s">
        <v>130</v>
      </c>
      <c r="P71" t="s">
        <v>130</v>
      </c>
      <c r="Q71">
        <v>0</v>
      </c>
      <c r="R71">
        <v>50937</v>
      </c>
    </row>
    <row r="72" spans="1:18" x14ac:dyDescent="0.25">
      <c r="A72">
        <v>60000071</v>
      </c>
      <c r="B72">
        <v>54</v>
      </c>
      <c r="C72" t="s">
        <v>85</v>
      </c>
      <c r="D72" t="s">
        <v>87</v>
      </c>
      <c r="E72" t="s">
        <v>95</v>
      </c>
      <c r="F72" t="s">
        <v>102</v>
      </c>
      <c r="G72">
        <v>38</v>
      </c>
      <c r="H72" t="s">
        <v>111</v>
      </c>
      <c r="I72" t="s">
        <v>140</v>
      </c>
      <c r="J72" t="s">
        <v>12</v>
      </c>
      <c r="K72" t="s">
        <v>13</v>
      </c>
      <c r="L72" t="s">
        <v>10</v>
      </c>
      <c r="M72" t="s">
        <v>130</v>
      </c>
      <c r="N72" t="s">
        <v>130</v>
      </c>
      <c r="O72" t="s">
        <v>130</v>
      </c>
      <c r="P72" t="s">
        <v>130</v>
      </c>
      <c r="Q72">
        <v>0</v>
      </c>
      <c r="R72">
        <v>50926</v>
      </c>
    </row>
    <row r="73" spans="1:18" x14ac:dyDescent="0.25">
      <c r="A73">
        <v>60000072</v>
      </c>
      <c r="B73">
        <v>34</v>
      </c>
      <c r="C73" t="s">
        <v>85</v>
      </c>
      <c r="D73" t="s">
        <v>87</v>
      </c>
      <c r="E73" t="s">
        <v>91</v>
      </c>
      <c r="F73" t="s">
        <v>102</v>
      </c>
      <c r="G73">
        <v>20</v>
      </c>
      <c r="H73" t="s">
        <v>109</v>
      </c>
      <c r="I73" t="s">
        <v>50</v>
      </c>
      <c r="J73" t="s">
        <v>21</v>
      </c>
      <c r="K73" t="s">
        <v>43</v>
      </c>
      <c r="L73" t="s">
        <v>10</v>
      </c>
      <c r="M73" t="s">
        <v>130</v>
      </c>
      <c r="N73" t="s">
        <v>130</v>
      </c>
      <c r="O73" t="s">
        <v>130</v>
      </c>
      <c r="P73" t="s">
        <v>130</v>
      </c>
      <c r="Q73">
        <v>0</v>
      </c>
      <c r="R73">
        <v>65453</v>
      </c>
    </row>
    <row r="74" spans="1:18" x14ac:dyDescent="0.25">
      <c r="A74">
        <v>60000073</v>
      </c>
      <c r="B74">
        <v>26</v>
      </c>
      <c r="C74" t="s">
        <v>86</v>
      </c>
      <c r="D74" t="s">
        <v>88</v>
      </c>
      <c r="E74" t="s">
        <v>5</v>
      </c>
      <c r="F74" t="s">
        <v>102</v>
      </c>
      <c r="G74">
        <v>15</v>
      </c>
      <c r="H74" t="s">
        <v>132</v>
      </c>
      <c r="I74" t="s">
        <v>148</v>
      </c>
      <c r="J74" t="s">
        <v>21</v>
      </c>
      <c r="K74" t="s">
        <v>45</v>
      </c>
      <c r="L74" t="s">
        <v>10</v>
      </c>
      <c r="M74" t="s">
        <v>130</v>
      </c>
      <c r="N74" t="s">
        <v>130</v>
      </c>
      <c r="O74" t="s">
        <v>130</v>
      </c>
      <c r="P74" t="s">
        <v>129</v>
      </c>
      <c r="Q74">
        <v>4</v>
      </c>
      <c r="R74">
        <v>60126</v>
      </c>
    </row>
    <row r="75" spans="1:18" x14ac:dyDescent="0.25">
      <c r="A75">
        <v>60000074</v>
      </c>
      <c r="B75">
        <v>40</v>
      </c>
      <c r="C75" t="s">
        <v>85</v>
      </c>
      <c r="D75" t="s">
        <v>87</v>
      </c>
      <c r="E75" t="s">
        <v>92</v>
      </c>
      <c r="F75" t="s">
        <v>102</v>
      </c>
      <c r="G75">
        <v>13</v>
      </c>
      <c r="H75" t="s">
        <v>132</v>
      </c>
      <c r="I75" t="s">
        <v>148</v>
      </c>
      <c r="J75" t="s">
        <v>16</v>
      </c>
      <c r="K75" t="s">
        <v>57</v>
      </c>
      <c r="L75" t="s">
        <v>10</v>
      </c>
      <c r="M75" t="s">
        <v>130</v>
      </c>
      <c r="N75" t="s">
        <v>130</v>
      </c>
      <c r="O75" t="s">
        <v>130</v>
      </c>
      <c r="P75" t="s">
        <v>130</v>
      </c>
      <c r="Q75">
        <v>0</v>
      </c>
      <c r="R75">
        <v>23711</v>
      </c>
    </row>
    <row r="76" spans="1:18" x14ac:dyDescent="0.25">
      <c r="A76">
        <v>60000075</v>
      </c>
      <c r="B76">
        <v>57</v>
      </c>
      <c r="C76" t="s">
        <v>86</v>
      </c>
      <c r="D76" t="s">
        <v>87</v>
      </c>
      <c r="E76" t="s">
        <v>95</v>
      </c>
      <c r="F76" t="s">
        <v>102</v>
      </c>
      <c r="G76">
        <v>33</v>
      </c>
      <c r="H76" t="s">
        <v>111</v>
      </c>
      <c r="I76" t="s">
        <v>22</v>
      </c>
      <c r="J76" t="s">
        <v>62</v>
      </c>
      <c r="K76" t="s">
        <v>61</v>
      </c>
      <c r="L76" t="s">
        <v>10</v>
      </c>
      <c r="M76" t="s">
        <v>130</v>
      </c>
      <c r="N76" t="s">
        <v>130</v>
      </c>
      <c r="O76" t="s">
        <v>130</v>
      </c>
      <c r="P76" t="s">
        <v>130</v>
      </c>
      <c r="Q76">
        <v>0</v>
      </c>
      <c r="R76">
        <v>77308</v>
      </c>
    </row>
    <row r="77" spans="1:18" x14ac:dyDescent="0.25">
      <c r="A77">
        <v>60000076</v>
      </c>
      <c r="B77">
        <v>21</v>
      </c>
      <c r="C77" t="s">
        <v>85</v>
      </c>
      <c r="D77" t="s">
        <v>88</v>
      </c>
      <c r="E77" t="s">
        <v>100</v>
      </c>
      <c r="F77" t="s">
        <v>102</v>
      </c>
      <c r="G77">
        <v>10</v>
      </c>
      <c r="H77" t="s">
        <v>108</v>
      </c>
      <c r="I77" t="s">
        <v>22</v>
      </c>
      <c r="J77" t="s">
        <v>75</v>
      </c>
      <c r="K77" t="s">
        <v>67</v>
      </c>
      <c r="L77" t="s">
        <v>10</v>
      </c>
      <c r="M77" t="s">
        <v>130</v>
      </c>
      <c r="N77" t="s">
        <v>130</v>
      </c>
      <c r="O77" t="s">
        <v>130</v>
      </c>
      <c r="P77" t="s">
        <v>130</v>
      </c>
      <c r="Q77">
        <v>0</v>
      </c>
      <c r="R77">
        <v>34801</v>
      </c>
    </row>
    <row r="78" spans="1:18" x14ac:dyDescent="0.25">
      <c r="A78">
        <v>60000077</v>
      </c>
      <c r="B78">
        <v>27</v>
      </c>
      <c r="C78" t="s">
        <v>86</v>
      </c>
      <c r="D78" t="s">
        <v>88</v>
      </c>
      <c r="E78" t="s">
        <v>5</v>
      </c>
      <c r="F78" t="s">
        <v>102</v>
      </c>
      <c r="G78">
        <v>16</v>
      </c>
      <c r="H78" t="s">
        <v>132</v>
      </c>
      <c r="I78" t="s">
        <v>139</v>
      </c>
      <c r="J78" t="s">
        <v>75</v>
      </c>
      <c r="K78" t="s">
        <v>29</v>
      </c>
      <c r="L78" t="s">
        <v>10</v>
      </c>
      <c r="M78" t="s">
        <v>130</v>
      </c>
      <c r="N78" t="s">
        <v>130</v>
      </c>
      <c r="O78" t="s">
        <v>130</v>
      </c>
      <c r="P78" t="s">
        <v>129</v>
      </c>
      <c r="Q78">
        <v>2</v>
      </c>
      <c r="R78">
        <v>79253</v>
      </c>
    </row>
    <row r="79" spans="1:18" x14ac:dyDescent="0.25">
      <c r="A79">
        <v>60000078</v>
      </c>
      <c r="B79">
        <v>59</v>
      </c>
      <c r="C79" t="s">
        <v>86</v>
      </c>
      <c r="D79" t="s">
        <v>88</v>
      </c>
      <c r="E79" t="s">
        <v>90</v>
      </c>
      <c r="F79" t="s">
        <v>102</v>
      </c>
      <c r="G79">
        <v>38</v>
      </c>
      <c r="H79" t="s">
        <v>111</v>
      </c>
      <c r="I79" t="s">
        <v>142</v>
      </c>
      <c r="J79" t="s">
        <v>62</v>
      </c>
      <c r="K79" t="s">
        <v>69</v>
      </c>
      <c r="L79" t="s">
        <v>10</v>
      </c>
      <c r="M79" t="s">
        <v>130</v>
      </c>
      <c r="N79" t="s">
        <v>130</v>
      </c>
      <c r="O79" t="s">
        <v>130</v>
      </c>
      <c r="P79" t="s">
        <v>130</v>
      </c>
      <c r="Q79">
        <v>0</v>
      </c>
      <c r="R79">
        <v>74467</v>
      </c>
    </row>
    <row r="80" spans="1:18" x14ac:dyDescent="0.25">
      <c r="A80">
        <v>60000079</v>
      </c>
      <c r="B80">
        <v>50</v>
      </c>
      <c r="C80" t="s">
        <v>86</v>
      </c>
      <c r="D80" t="s">
        <v>88</v>
      </c>
      <c r="E80" t="s">
        <v>95</v>
      </c>
      <c r="F80" t="s">
        <v>102</v>
      </c>
      <c r="G80">
        <v>31</v>
      </c>
      <c r="H80" t="s">
        <v>110</v>
      </c>
      <c r="I80" t="s">
        <v>145</v>
      </c>
      <c r="J80" t="s">
        <v>23</v>
      </c>
      <c r="K80" t="s">
        <v>34</v>
      </c>
      <c r="L80" t="s">
        <v>10</v>
      </c>
      <c r="M80" t="s">
        <v>130</v>
      </c>
      <c r="N80" t="s">
        <v>130</v>
      </c>
      <c r="O80" t="s">
        <v>130</v>
      </c>
      <c r="P80" t="s">
        <v>129</v>
      </c>
      <c r="Q80">
        <v>0</v>
      </c>
      <c r="R80">
        <v>71270</v>
      </c>
    </row>
    <row r="81" spans="1:18" x14ac:dyDescent="0.25">
      <c r="A81">
        <v>60000080</v>
      </c>
      <c r="B81">
        <v>51</v>
      </c>
      <c r="C81" t="s">
        <v>86</v>
      </c>
      <c r="D81" t="s">
        <v>87</v>
      </c>
      <c r="E81" t="s">
        <v>97</v>
      </c>
      <c r="F81" t="s">
        <v>102</v>
      </c>
      <c r="G81">
        <v>35</v>
      </c>
      <c r="H81" t="s">
        <v>111</v>
      </c>
      <c r="I81" t="s">
        <v>29</v>
      </c>
      <c r="J81" t="s">
        <v>12</v>
      </c>
      <c r="K81" t="s">
        <v>27</v>
      </c>
      <c r="L81" t="s">
        <v>10</v>
      </c>
      <c r="M81" t="s">
        <v>130</v>
      </c>
      <c r="N81" t="s">
        <v>130</v>
      </c>
      <c r="O81" t="s">
        <v>130</v>
      </c>
      <c r="P81" t="s">
        <v>130</v>
      </c>
      <c r="Q81">
        <v>0</v>
      </c>
      <c r="R81">
        <v>84560</v>
      </c>
    </row>
    <row r="82" spans="1:18" x14ac:dyDescent="0.25">
      <c r="A82">
        <v>60000081</v>
      </c>
      <c r="B82">
        <v>44</v>
      </c>
      <c r="C82" t="s">
        <v>86</v>
      </c>
      <c r="D82" t="s">
        <v>87</v>
      </c>
      <c r="E82" t="s">
        <v>96</v>
      </c>
      <c r="F82" t="s">
        <v>102</v>
      </c>
      <c r="G82">
        <v>19</v>
      </c>
      <c r="H82" t="s">
        <v>109</v>
      </c>
      <c r="I82" t="s">
        <v>149</v>
      </c>
      <c r="J82" t="s">
        <v>18</v>
      </c>
      <c r="K82" t="s">
        <v>72</v>
      </c>
      <c r="L82" t="s">
        <v>10</v>
      </c>
      <c r="M82" t="s">
        <v>130</v>
      </c>
      <c r="N82" t="s">
        <v>130</v>
      </c>
      <c r="O82" t="s">
        <v>130</v>
      </c>
      <c r="P82" t="s">
        <v>129</v>
      </c>
      <c r="Q82">
        <v>0</v>
      </c>
      <c r="R82">
        <v>67808</v>
      </c>
    </row>
    <row r="83" spans="1:18" x14ac:dyDescent="0.25">
      <c r="A83">
        <v>60000082</v>
      </c>
      <c r="B83">
        <v>22</v>
      </c>
      <c r="C83" t="s">
        <v>85</v>
      </c>
      <c r="D83" t="s">
        <v>88</v>
      </c>
      <c r="E83" t="s">
        <v>100</v>
      </c>
      <c r="F83" t="s">
        <v>102</v>
      </c>
      <c r="G83">
        <v>13</v>
      </c>
      <c r="H83" t="s">
        <v>132</v>
      </c>
      <c r="I83" t="s">
        <v>140</v>
      </c>
      <c r="J83" t="s">
        <v>25</v>
      </c>
      <c r="K83" t="s">
        <v>38</v>
      </c>
      <c r="L83" t="s">
        <v>10</v>
      </c>
      <c r="M83" t="s">
        <v>130</v>
      </c>
      <c r="N83" t="s">
        <v>130</v>
      </c>
      <c r="O83" t="s">
        <v>130</v>
      </c>
      <c r="P83" t="s">
        <v>130</v>
      </c>
      <c r="Q83">
        <v>0</v>
      </c>
      <c r="R83">
        <v>35771</v>
      </c>
    </row>
    <row r="84" spans="1:18" x14ac:dyDescent="0.25">
      <c r="A84">
        <v>60000083</v>
      </c>
      <c r="B84">
        <v>30</v>
      </c>
      <c r="C84" t="s">
        <v>85</v>
      </c>
      <c r="D84" t="s">
        <v>88</v>
      </c>
      <c r="E84" t="s">
        <v>90</v>
      </c>
      <c r="F84" t="s">
        <v>102</v>
      </c>
      <c r="G84">
        <v>17</v>
      </c>
      <c r="H84" t="s">
        <v>132</v>
      </c>
      <c r="I84" t="s">
        <v>149</v>
      </c>
      <c r="J84" t="s">
        <v>53</v>
      </c>
      <c r="K84" t="s">
        <v>63</v>
      </c>
      <c r="L84" t="s">
        <v>10</v>
      </c>
      <c r="M84" t="s">
        <v>130</v>
      </c>
      <c r="N84" t="s">
        <v>130</v>
      </c>
      <c r="O84" t="s">
        <v>130</v>
      </c>
      <c r="P84" t="s">
        <v>130</v>
      </c>
      <c r="Q84">
        <v>0</v>
      </c>
      <c r="R84">
        <v>28257</v>
      </c>
    </row>
    <row r="85" spans="1:18" x14ac:dyDescent="0.25">
      <c r="A85">
        <v>60000084</v>
      </c>
      <c r="B85">
        <v>52</v>
      </c>
      <c r="C85" t="s">
        <v>86</v>
      </c>
      <c r="D85" t="s">
        <v>87</v>
      </c>
      <c r="E85" t="s">
        <v>92</v>
      </c>
      <c r="F85" t="s">
        <v>102</v>
      </c>
      <c r="G85">
        <v>12</v>
      </c>
      <c r="H85" t="s">
        <v>132</v>
      </c>
      <c r="I85" t="s">
        <v>146</v>
      </c>
      <c r="J85" t="s">
        <v>25</v>
      </c>
      <c r="K85" t="s">
        <v>48</v>
      </c>
      <c r="L85" t="s">
        <v>10</v>
      </c>
      <c r="M85" t="s">
        <v>130</v>
      </c>
      <c r="N85" t="s">
        <v>130</v>
      </c>
      <c r="O85" t="s">
        <v>130</v>
      </c>
      <c r="P85" t="s">
        <v>130</v>
      </c>
      <c r="Q85">
        <v>0</v>
      </c>
      <c r="R85">
        <v>65096</v>
      </c>
    </row>
    <row r="86" spans="1:18" x14ac:dyDescent="0.25">
      <c r="A86">
        <v>60000085</v>
      </c>
      <c r="B86">
        <v>51</v>
      </c>
      <c r="C86" t="s">
        <v>86</v>
      </c>
      <c r="D86" t="s">
        <v>88</v>
      </c>
      <c r="E86" t="s">
        <v>93</v>
      </c>
      <c r="F86" t="s">
        <v>102</v>
      </c>
      <c r="G86">
        <v>27</v>
      </c>
      <c r="H86" t="s">
        <v>110</v>
      </c>
      <c r="I86" t="s">
        <v>29</v>
      </c>
      <c r="J86" t="s">
        <v>12</v>
      </c>
      <c r="K86" t="s">
        <v>56</v>
      </c>
      <c r="L86" t="s">
        <v>10</v>
      </c>
      <c r="M86" t="s">
        <v>130</v>
      </c>
      <c r="N86" t="s">
        <v>130</v>
      </c>
      <c r="O86" t="s">
        <v>130</v>
      </c>
      <c r="P86" t="s">
        <v>130</v>
      </c>
      <c r="Q86">
        <v>0</v>
      </c>
      <c r="R86">
        <v>46817</v>
      </c>
    </row>
    <row r="87" spans="1:18" x14ac:dyDescent="0.25">
      <c r="A87">
        <v>60000086</v>
      </c>
      <c r="B87">
        <v>60</v>
      </c>
      <c r="C87" t="s">
        <v>86</v>
      </c>
      <c r="D87" t="s">
        <v>87</v>
      </c>
      <c r="E87" t="s">
        <v>93</v>
      </c>
      <c r="F87" t="s">
        <v>102</v>
      </c>
      <c r="G87">
        <v>17</v>
      </c>
      <c r="H87" t="s">
        <v>132</v>
      </c>
      <c r="I87" t="s">
        <v>143</v>
      </c>
      <c r="J87" t="s">
        <v>16</v>
      </c>
      <c r="K87" t="s">
        <v>70</v>
      </c>
      <c r="L87" t="s">
        <v>10</v>
      </c>
      <c r="M87" t="s">
        <v>130</v>
      </c>
      <c r="N87" t="s">
        <v>130</v>
      </c>
      <c r="O87" t="s">
        <v>130</v>
      </c>
      <c r="P87" t="s">
        <v>129</v>
      </c>
      <c r="Q87">
        <v>3</v>
      </c>
      <c r="R87">
        <v>70068</v>
      </c>
    </row>
    <row r="88" spans="1:18" x14ac:dyDescent="0.25">
      <c r="A88">
        <v>60000087</v>
      </c>
      <c r="B88">
        <v>40</v>
      </c>
      <c r="C88" t="s">
        <v>85</v>
      </c>
      <c r="D88" t="s">
        <v>88</v>
      </c>
      <c r="E88" t="s">
        <v>5</v>
      </c>
      <c r="F88" t="s">
        <v>102</v>
      </c>
      <c r="G88">
        <v>26</v>
      </c>
      <c r="H88" t="s">
        <v>110</v>
      </c>
      <c r="I88" t="s">
        <v>29</v>
      </c>
      <c r="J88" t="s">
        <v>9</v>
      </c>
      <c r="K88" t="s">
        <v>45</v>
      </c>
      <c r="L88" t="s">
        <v>10</v>
      </c>
      <c r="M88" t="s">
        <v>130</v>
      </c>
      <c r="N88" t="s">
        <v>130</v>
      </c>
      <c r="O88" t="s">
        <v>130</v>
      </c>
      <c r="P88" t="s">
        <v>130</v>
      </c>
      <c r="Q88">
        <v>0</v>
      </c>
      <c r="R88">
        <v>64035</v>
      </c>
    </row>
    <row r="89" spans="1:18" x14ac:dyDescent="0.25">
      <c r="A89">
        <v>60000088</v>
      </c>
      <c r="B89">
        <v>48</v>
      </c>
      <c r="C89" t="s">
        <v>85</v>
      </c>
      <c r="D89" t="s">
        <v>88</v>
      </c>
      <c r="E89" t="s">
        <v>96</v>
      </c>
      <c r="F89" t="s">
        <v>102</v>
      </c>
      <c r="G89">
        <v>26</v>
      </c>
      <c r="H89" t="s">
        <v>110</v>
      </c>
      <c r="I89" t="s">
        <v>145</v>
      </c>
      <c r="J89" t="s">
        <v>62</v>
      </c>
      <c r="K89" t="s">
        <v>28</v>
      </c>
      <c r="L89" t="s">
        <v>10</v>
      </c>
      <c r="M89" t="s">
        <v>130</v>
      </c>
      <c r="N89" t="s">
        <v>130</v>
      </c>
      <c r="O89" t="s">
        <v>130</v>
      </c>
      <c r="P89" t="s">
        <v>130</v>
      </c>
      <c r="Q89">
        <v>0</v>
      </c>
      <c r="R89">
        <v>59746</v>
      </c>
    </row>
    <row r="90" spans="1:18" x14ac:dyDescent="0.25">
      <c r="A90">
        <v>60000089</v>
      </c>
      <c r="B90">
        <v>32</v>
      </c>
      <c r="C90" t="s">
        <v>85</v>
      </c>
      <c r="D90" t="s">
        <v>88</v>
      </c>
      <c r="E90" t="s">
        <v>93</v>
      </c>
      <c r="F90" t="s">
        <v>102</v>
      </c>
      <c r="G90">
        <v>38</v>
      </c>
      <c r="H90" t="s">
        <v>111</v>
      </c>
      <c r="I90" t="s">
        <v>149</v>
      </c>
      <c r="J90" t="s">
        <v>75</v>
      </c>
      <c r="K90" t="s">
        <v>61</v>
      </c>
      <c r="L90" t="s">
        <v>10</v>
      </c>
      <c r="M90" t="s">
        <v>130</v>
      </c>
      <c r="N90" t="s">
        <v>130</v>
      </c>
      <c r="O90" t="s">
        <v>130</v>
      </c>
      <c r="P90" t="s">
        <v>129</v>
      </c>
      <c r="Q90">
        <v>0</v>
      </c>
      <c r="R90">
        <v>65443</v>
      </c>
    </row>
    <row r="91" spans="1:18" x14ac:dyDescent="0.25">
      <c r="A91">
        <v>60000090</v>
      </c>
      <c r="B91">
        <v>65</v>
      </c>
      <c r="C91" t="s">
        <v>86</v>
      </c>
      <c r="D91" t="s">
        <v>87</v>
      </c>
      <c r="E91" t="s">
        <v>93</v>
      </c>
      <c r="F91" t="s">
        <v>102</v>
      </c>
      <c r="G91">
        <v>29</v>
      </c>
      <c r="H91" t="s">
        <v>110</v>
      </c>
      <c r="I91" t="s">
        <v>139</v>
      </c>
      <c r="J91" t="s">
        <v>25</v>
      </c>
      <c r="K91" t="s">
        <v>46</v>
      </c>
      <c r="L91" t="s">
        <v>10</v>
      </c>
      <c r="M91" t="s">
        <v>130</v>
      </c>
      <c r="N91" t="s">
        <v>130</v>
      </c>
      <c r="O91" t="s">
        <v>130</v>
      </c>
      <c r="P91" t="s">
        <v>129</v>
      </c>
      <c r="Q91">
        <v>7</v>
      </c>
      <c r="R91">
        <v>77471</v>
      </c>
    </row>
    <row r="92" spans="1:18" x14ac:dyDescent="0.25">
      <c r="A92">
        <v>60000091</v>
      </c>
      <c r="B92">
        <v>62</v>
      </c>
      <c r="C92" t="s">
        <v>86</v>
      </c>
      <c r="D92" t="s">
        <v>87</v>
      </c>
      <c r="E92" t="s">
        <v>93</v>
      </c>
      <c r="F92" t="s">
        <v>102</v>
      </c>
      <c r="G92">
        <v>13</v>
      </c>
      <c r="H92" t="s">
        <v>132</v>
      </c>
      <c r="I92" t="s">
        <v>141</v>
      </c>
      <c r="J92" t="s">
        <v>47</v>
      </c>
      <c r="K92" t="s">
        <v>41</v>
      </c>
      <c r="L92" t="s">
        <v>10</v>
      </c>
      <c r="M92" t="s">
        <v>130</v>
      </c>
      <c r="N92" t="s">
        <v>130</v>
      </c>
      <c r="O92" t="s">
        <v>130</v>
      </c>
      <c r="P92" t="s">
        <v>129</v>
      </c>
      <c r="Q92">
        <v>1</v>
      </c>
      <c r="R92">
        <v>62047</v>
      </c>
    </row>
    <row r="93" spans="1:18" x14ac:dyDescent="0.25">
      <c r="A93">
        <v>60000092</v>
      </c>
      <c r="B93">
        <v>49</v>
      </c>
      <c r="C93" t="s">
        <v>85</v>
      </c>
      <c r="D93" t="s">
        <v>88</v>
      </c>
      <c r="E93" t="s">
        <v>92</v>
      </c>
      <c r="F93" t="s">
        <v>102</v>
      </c>
      <c r="G93">
        <v>35</v>
      </c>
      <c r="H93" t="s">
        <v>111</v>
      </c>
      <c r="I93" t="s">
        <v>143</v>
      </c>
      <c r="J93" t="s">
        <v>12</v>
      </c>
      <c r="K93" t="s">
        <v>29</v>
      </c>
      <c r="L93" t="s">
        <v>10</v>
      </c>
      <c r="M93" t="s">
        <v>130</v>
      </c>
      <c r="N93" t="s">
        <v>130</v>
      </c>
      <c r="O93" t="s">
        <v>130</v>
      </c>
      <c r="P93" t="s">
        <v>129</v>
      </c>
      <c r="Q93">
        <v>3</v>
      </c>
      <c r="R93">
        <v>72608</v>
      </c>
    </row>
    <row r="94" spans="1:18" x14ac:dyDescent="0.25">
      <c r="A94">
        <v>60000093</v>
      </c>
      <c r="B94">
        <v>33</v>
      </c>
      <c r="C94" t="s">
        <v>85</v>
      </c>
      <c r="D94" t="s">
        <v>87</v>
      </c>
      <c r="E94" t="s">
        <v>92</v>
      </c>
      <c r="F94" t="s">
        <v>102</v>
      </c>
      <c r="G94">
        <v>35</v>
      </c>
      <c r="H94" t="s">
        <v>111</v>
      </c>
      <c r="I94" t="s">
        <v>22</v>
      </c>
      <c r="J94" t="s">
        <v>53</v>
      </c>
      <c r="K94" t="s">
        <v>13</v>
      </c>
      <c r="L94" t="s">
        <v>10</v>
      </c>
      <c r="M94" t="s">
        <v>130</v>
      </c>
      <c r="N94" t="s">
        <v>130</v>
      </c>
      <c r="O94" t="s">
        <v>130</v>
      </c>
      <c r="P94" t="s">
        <v>129</v>
      </c>
      <c r="Q94">
        <v>6</v>
      </c>
      <c r="R94">
        <v>33947</v>
      </c>
    </row>
    <row r="95" spans="1:18" x14ac:dyDescent="0.25">
      <c r="A95">
        <v>60000094</v>
      </c>
      <c r="B95">
        <v>37</v>
      </c>
      <c r="C95" t="s">
        <v>85</v>
      </c>
      <c r="D95" t="s">
        <v>87</v>
      </c>
      <c r="E95" t="s">
        <v>97</v>
      </c>
      <c r="F95" t="s">
        <v>102</v>
      </c>
      <c r="G95">
        <v>25</v>
      </c>
      <c r="H95" t="s">
        <v>110</v>
      </c>
      <c r="I95" t="s">
        <v>29</v>
      </c>
      <c r="J95" t="s">
        <v>18</v>
      </c>
      <c r="K95" t="s">
        <v>15</v>
      </c>
      <c r="L95" t="s">
        <v>10</v>
      </c>
      <c r="M95" t="s">
        <v>130</v>
      </c>
      <c r="N95" t="s">
        <v>130</v>
      </c>
      <c r="O95" t="s">
        <v>130</v>
      </c>
      <c r="P95" t="s">
        <v>129</v>
      </c>
      <c r="Q95">
        <v>6</v>
      </c>
      <c r="R95">
        <v>37975</v>
      </c>
    </row>
    <row r="96" spans="1:18" x14ac:dyDescent="0.25">
      <c r="A96">
        <v>60000095</v>
      </c>
      <c r="B96">
        <v>23</v>
      </c>
      <c r="C96" t="s">
        <v>85</v>
      </c>
      <c r="D96" t="s">
        <v>87</v>
      </c>
      <c r="E96" t="s">
        <v>96</v>
      </c>
      <c r="F96" t="s">
        <v>102</v>
      </c>
      <c r="G96">
        <v>12</v>
      </c>
      <c r="H96" t="s">
        <v>132</v>
      </c>
      <c r="I96" t="s">
        <v>146</v>
      </c>
      <c r="J96" t="s">
        <v>12</v>
      </c>
      <c r="K96" t="s">
        <v>44</v>
      </c>
      <c r="L96" t="s">
        <v>10</v>
      </c>
      <c r="M96" t="s">
        <v>130</v>
      </c>
      <c r="N96" t="s">
        <v>130</v>
      </c>
      <c r="O96" t="s">
        <v>130</v>
      </c>
      <c r="P96" t="s">
        <v>130</v>
      </c>
      <c r="Q96">
        <v>0</v>
      </c>
      <c r="R96">
        <v>29675</v>
      </c>
    </row>
    <row r="97" spans="1:18" x14ac:dyDescent="0.25">
      <c r="A97">
        <v>60000096</v>
      </c>
      <c r="B97">
        <v>40</v>
      </c>
      <c r="C97" t="s">
        <v>86</v>
      </c>
      <c r="D97" t="s">
        <v>88</v>
      </c>
      <c r="E97" t="s">
        <v>98</v>
      </c>
      <c r="F97" t="s">
        <v>102</v>
      </c>
      <c r="G97">
        <v>31</v>
      </c>
      <c r="H97" t="s">
        <v>110</v>
      </c>
      <c r="I97" t="s">
        <v>143</v>
      </c>
      <c r="J97" t="s">
        <v>23</v>
      </c>
      <c r="K97" t="s">
        <v>34</v>
      </c>
      <c r="L97" t="s">
        <v>10</v>
      </c>
      <c r="M97" t="s">
        <v>130</v>
      </c>
      <c r="N97" t="s">
        <v>130</v>
      </c>
      <c r="O97" t="s">
        <v>130</v>
      </c>
      <c r="P97" t="s">
        <v>130</v>
      </c>
      <c r="Q97">
        <v>0</v>
      </c>
      <c r="R97">
        <v>51903</v>
      </c>
    </row>
    <row r="98" spans="1:18" x14ac:dyDescent="0.25">
      <c r="A98">
        <v>60000097</v>
      </c>
      <c r="B98">
        <v>40</v>
      </c>
      <c r="C98" t="s">
        <v>86</v>
      </c>
      <c r="D98" t="s">
        <v>88</v>
      </c>
      <c r="E98" t="s">
        <v>90</v>
      </c>
      <c r="F98" t="s">
        <v>102</v>
      </c>
      <c r="G98">
        <v>19</v>
      </c>
      <c r="H98" t="s">
        <v>109</v>
      </c>
      <c r="I98" t="s">
        <v>11</v>
      </c>
      <c r="J98" t="s">
        <v>47</v>
      </c>
      <c r="K98" t="s">
        <v>17</v>
      </c>
      <c r="L98" t="s">
        <v>10</v>
      </c>
      <c r="M98" t="s">
        <v>130</v>
      </c>
      <c r="N98" t="s">
        <v>130</v>
      </c>
      <c r="O98" t="s">
        <v>130</v>
      </c>
      <c r="P98" t="s">
        <v>130</v>
      </c>
      <c r="Q98">
        <v>0</v>
      </c>
      <c r="R98">
        <v>75407</v>
      </c>
    </row>
    <row r="99" spans="1:18" x14ac:dyDescent="0.25">
      <c r="A99">
        <v>60000098</v>
      </c>
      <c r="B99">
        <v>62</v>
      </c>
      <c r="C99" t="s">
        <v>86</v>
      </c>
      <c r="D99" t="s">
        <v>88</v>
      </c>
      <c r="E99" t="s">
        <v>95</v>
      </c>
      <c r="F99" t="s">
        <v>102</v>
      </c>
      <c r="G99">
        <v>35</v>
      </c>
      <c r="H99" t="s">
        <v>111</v>
      </c>
      <c r="I99" t="s">
        <v>139</v>
      </c>
      <c r="J99" t="s">
        <v>21</v>
      </c>
      <c r="K99" t="s">
        <v>46</v>
      </c>
      <c r="L99" t="s">
        <v>10</v>
      </c>
      <c r="M99" t="s">
        <v>130</v>
      </c>
      <c r="N99" t="s">
        <v>130</v>
      </c>
      <c r="O99" t="s">
        <v>130</v>
      </c>
      <c r="P99" t="s">
        <v>130</v>
      </c>
      <c r="Q99">
        <v>0</v>
      </c>
      <c r="R99">
        <v>53325</v>
      </c>
    </row>
    <row r="100" spans="1:18" x14ac:dyDescent="0.25">
      <c r="A100">
        <v>60000099</v>
      </c>
      <c r="B100">
        <v>45</v>
      </c>
      <c r="C100" t="s">
        <v>85</v>
      </c>
      <c r="D100" t="s">
        <v>87</v>
      </c>
      <c r="E100" t="s">
        <v>90</v>
      </c>
      <c r="F100" t="s">
        <v>102</v>
      </c>
      <c r="G100">
        <v>36</v>
      </c>
      <c r="H100" t="s">
        <v>111</v>
      </c>
      <c r="I100" t="s">
        <v>143</v>
      </c>
      <c r="J100" t="s">
        <v>12</v>
      </c>
      <c r="K100" t="s">
        <v>37</v>
      </c>
      <c r="L100" t="s">
        <v>10</v>
      </c>
      <c r="M100" t="s">
        <v>130</v>
      </c>
      <c r="N100" t="s">
        <v>130</v>
      </c>
      <c r="O100" t="s">
        <v>130</v>
      </c>
      <c r="P100" t="s">
        <v>129</v>
      </c>
      <c r="Q100">
        <v>7</v>
      </c>
      <c r="R100">
        <v>67527</v>
      </c>
    </row>
    <row r="101" spans="1:18" x14ac:dyDescent="0.25">
      <c r="A101">
        <v>60000100</v>
      </c>
      <c r="B101">
        <v>58</v>
      </c>
      <c r="C101" t="s">
        <v>86</v>
      </c>
      <c r="D101" t="s">
        <v>88</v>
      </c>
      <c r="E101" t="s">
        <v>97</v>
      </c>
      <c r="F101" t="s">
        <v>102</v>
      </c>
      <c r="G101">
        <v>17</v>
      </c>
      <c r="H101" t="s">
        <v>132</v>
      </c>
      <c r="I101" t="s">
        <v>11</v>
      </c>
      <c r="J101" t="s">
        <v>53</v>
      </c>
      <c r="K101" t="s">
        <v>27</v>
      </c>
      <c r="L101" t="s">
        <v>10</v>
      </c>
      <c r="M101" t="s">
        <v>130</v>
      </c>
      <c r="N101" t="s">
        <v>130</v>
      </c>
      <c r="O101" t="s">
        <v>130</v>
      </c>
      <c r="P101" t="s">
        <v>129</v>
      </c>
      <c r="Q101">
        <v>5</v>
      </c>
      <c r="R101">
        <v>41676</v>
      </c>
    </row>
    <row r="102" spans="1:18" x14ac:dyDescent="0.25">
      <c r="A102">
        <v>60000101</v>
      </c>
      <c r="B102">
        <v>28</v>
      </c>
      <c r="C102" t="s">
        <v>86</v>
      </c>
      <c r="D102" t="s">
        <v>87</v>
      </c>
      <c r="E102" t="s">
        <v>99</v>
      </c>
      <c r="F102" t="s">
        <v>102</v>
      </c>
      <c r="G102">
        <v>27</v>
      </c>
      <c r="H102" t="s">
        <v>110</v>
      </c>
      <c r="I102" t="s">
        <v>150</v>
      </c>
      <c r="J102" t="s">
        <v>23</v>
      </c>
      <c r="K102" t="s">
        <v>15</v>
      </c>
      <c r="L102" t="s">
        <v>10</v>
      </c>
      <c r="M102" t="s">
        <v>130</v>
      </c>
      <c r="N102" t="s">
        <v>130</v>
      </c>
      <c r="O102" t="s">
        <v>130</v>
      </c>
      <c r="P102" t="s">
        <v>130</v>
      </c>
      <c r="Q102">
        <v>0</v>
      </c>
      <c r="R102">
        <v>83260</v>
      </c>
    </row>
    <row r="103" spans="1:18" x14ac:dyDescent="0.25">
      <c r="A103">
        <v>60000102</v>
      </c>
      <c r="B103">
        <v>49</v>
      </c>
      <c r="C103" t="s">
        <v>86</v>
      </c>
      <c r="D103" t="s">
        <v>88</v>
      </c>
      <c r="E103" t="s">
        <v>92</v>
      </c>
      <c r="F103" t="s">
        <v>102</v>
      </c>
      <c r="G103">
        <v>29</v>
      </c>
      <c r="H103" t="s">
        <v>110</v>
      </c>
      <c r="I103" t="s">
        <v>146</v>
      </c>
      <c r="J103" t="s">
        <v>9</v>
      </c>
      <c r="K103" t="s">
        <v>71</v>
      </c>
      <c r="L103" t="s">
        <v>10</v>
      </c>
      <c r="M103" t="s">
        <v>130</v>
      </c>
      <c r="N103" t="s">
        <v>130</v>
      </c>
      <c r="O103" t="s">
        <v>130</v>
      </c>
      <c r="P103" t="s">
        <v>129</v>
      </c>
      <c r="Q103">
        <v>0</v>
      </c>
      <c r="R103">
        <v>42293</v>
      </c>
    </row>
    <row r="104" spans="1:18" x14ac:dyDescent="0.25">
      <c r="A104">
        <v>60000103</v>
      </c>
      <c r="B104">
        <v>41</v>
      </c>
      <c r="C104" t="s">
        <v>86</v>
      </c>
      <c r="D104" t="s">
        <v>88</v>
      </c>
      <c r="E104" t="s">
        <v>99</v>
      </c>
      <c r="F104" t="s">
        <v>102</v>
      </c>
      <c r="G104">
        <v>23</v>
      </c>
      <c r="H104" t="s">
        <v>109</v>
      </c>
      <c r="I104" t="s">
        <v>50</v>
      </c>
      <c r="J104" t="s">
        <v>53</v>
      </c>
      <c r="K104" t="s">
        <v>44</v>
      </c>
      <c r="L104" t="s">
        <v>10</v>
      </c>
      <c r="M104" t="s">
        <v>130</v>
      </c>
      <c r="N104" t="s">
        <v>130</v>
      </c>
      <c r="O104" t="s">
        <v>130</v>
      </c>
      <c r="P104" t="s">
        <v>129</v>
      </c>
      <c r="Q104">
        <v>4</v>
      </c>
      <c r="R104">
        <v>31530</v>
      </c>
    </row>
    <row r="105" spans="1:18" x14ac:dyDescent="0.25">
      <c r="A105">
        <v>60000104</v>
      </c>
      <c r="B105">
        <v>57</v>
      </c>
      <c r="C105" t="s">
        <v>85</v>
      </c>
      <c r="D105" t="s">
        <v>87</v>
      </c>
      <c r="E105" t="s">
        <v>5</v>
      </c>
      <c r="F105" t="s">
        <v>102</v>
      </c>
      <c r="G105">
        <v>21</v>
      </c>
      <c r="H105" t="s">
        <v>109</v>
      </c>
      <c r="I105" t="s">
        <v>150</v>
      </c>
      <c r="J105" t="s">
        <v>23</v>
      </c>
      <c r="K105" t="s">
        <v>45</v>
      </c>
      <c r="L105" t="s">
        <v>10</v>
      </c>
      <c r="M105" t="s">
        <v>130</v>
      </c>
      <c r="N105" t="s">
        <v>130</v>
      </c>
      <c r="O105" t="s">
        <v>130</v>
      </c>
      <c r="P105" t="s">
        <v>130</v>
      </c>
      <c r="Q105">
        <v>0</v>
      </c>
      <c r="R105">
        <v>80431</v>
      </c>
    </row>
    <row r="106" spans="1:18" x14ac:dyDescent="0.25">
      <c r="A106">
        <v>60000105</v>
      </c>
      <c r="B106">
        <v>56</v>
      </c>
      <c r="C106" t="s">
        <v>85</v>
      </c>
      <c r="D106" t="s">
        <v>87</v>
      </c>
      <c r="E106" t="s">
        <v>96</v>
      </c>
      <c r="F106" t="s">
        <v>102</v>
      </c>
      <c r="G106">
        <v>36</v>
      </c>
      <c r="H106" t="s">
        <v>111</v>
      </c>
      <c r="I106" t="s">
        <v>141</v>
      </c>
      <c r="J106" t="s">
        <v>62</v>
      </c>
      <c r="K106" t="s">
        <v>40</v>
      </c>
      <c r="L106" t="s">
        <v>10</v>
      </c>
      <c r="M106" t="s">
        <v>130</v>
      </c>
      <c r="N106" t="s">
        <v>130</v>
      </c>
      <c r="O106" t="s">
        <v>130</v>
      </c>
      <c r="P106" t="s">
        <v>129</v>
      </c>
      <c r="Q106">
        <v>2</v>
      </c>
      <c r="R106">
        <v>27023</v>
      </c>
    </row>
    <row r="107" spans="1:18" x14ac:dyDescent="0.25">
      <c r="A107">
        <v>60000106</v>
      </c>
      <c r="B107">
        <v>34</v>
      </c>
      <c r="C107" t="s">
        <v>85</v>
      </c>
      <c r="D107" t="s">
        <v>87</v>
      </c>
      <c r="E107" t="s">
        <v>5</v>
      </c>
      <c r="F107" t="s">
        <v>102</v>
      </c>
      <c r="G107">
        <v>11</v>
      </c>
      <c r="H107" t="s">
        <v>108</v>
      </c>
      <c r="I107" t="s">
        <v>22</v>
      </c>
      <c r="J107" t="s">
        <v>12</v>
      </c>
      <c r="K107" t="s">
        <v>19</v>
      </c>
      <c r="L107" t="s">
        <v>10</v>
      </c>
      <c r="M107" t="s">
        <v>130</v>
      </c>
      <c r="N107" t="s">
        <v>130</v>
      </c>
      <c r="O107" t="s">
        <v>130</v>
      </c>
      <c r="P107" t="s">
        <v>129</v>
      </c>
      <c r="Q107">
        <v>0</v>
      </c>
      <c r="R107">
        <v>30628</v>
      </c>
    </row>
    <row r="108" spans="1:18" x14ac:dyDescent="0.25">
      <c r="A108">
        <v>60000107</v>
      </c>
      <c r="B108">
        <v>48</v>
      </c>
      <c r="C108" t="s">
        <v>86</v>
      </c>
      <c r="D108" t="s">
        <v>87</v>
      </c>
      <c r="E108" t="s">
        <v>90</v>
      </c>
      <c r="F108" t="s">
        <v>102</v>
      </c>
      <c r="G108">
        <v>11</v>
      </c>
      <c r="H108" t="s">
        <v>108</v>
      </c>
      <c r="I108" t="s">
        <v>148</v>
      </c>
      <c r="J108" t="s">
        <v>18</v>
      </c>
      <c r="K108" t="s">
        <v>54</v>
      </c>
      <c r="L108" t="s">
        <v>10</v>
      </c>
      <c r="M108" t="s">
        <v>130</v>
      </c>
      <c r="N108" t="s">
        <v>130</v>
      </c>
      <c r="O108" t="s">
        <v>130</v>
      </c>
      <c r="P108" t="s">
        <v>129</v>
      </c>
      <c r="Q108">
        <v>7</v>
      </c>
      <c r="R108">
        <v>84173</v>
      </c>
    </row>
    <row r="109" spans="1:18" x14ac:dyDescent="0.25">
      <c r="A109">
        <v>60000108</v>
      </c>
      <c r="B109">
        <v>63</v>
      </c>
      <c r="C109" t="s">
        <v>86</v>
      </c>
      <c r="D109" t="s">
        <v>87</v>
      </c>
      <c r="E109" t="s">
        <v>97</v>
      </c>
      <c r="F109" t="s">
        <v>102</v>
      </c>
      <c r="G109">
        <v>28</v>
      </c>
      <c r="H109" t="s">
        <v>110</v>
      </c>
      <c r="I109" t="s">
        <v>146</v>
      </c>
      <c r="J109" t="s">
        <v>18</v>
      </c>
      <c r="K109" t="s">
        <v>66</v>
      </c>
      <c r="L109" t="s">
        <v>10</v>
      </c>
      <c r="M109" t="s">
        <v>130</v>
      </c>
      <c r="N109" t="s">
        <v>130</v>
      </c>
      <c r="O109" t="s">
        <v>130</v>
      </c>
      <c r="P109" t="s">
        <v>129</v>
      </c>
      <c r="Q109">
        <v>4</v>
      </c>
      <c r="R109">
        <v>40057</v>
      </c>
    </row>
    <row r="110" spans="1:18" x14ac:dyDescent="0.25">
      <c r="A110">
        <v>60000109</v>
      </c>
      <c r="B110">
        <v>20</v>
      </c>
      <c r="C110" t="s">
        <v>86</v>
      </c>
      <c r="D110" t="s">
        <v>88</v>
      </c>
      <c r="E110" t="s">
        <v>93</v>
      </c>
      <c r="F110" t="s">
        <v>102</v>
      </c>
      <c r="G110">
        <v>32</v>
      </c>
      <c r="H110" t="s">
        <v>111</v>
      </c>
      <c r="I110" t="s">
        <v>22</v>
      </c>
      <c r="J110" t="s">
        <v>47</v>
      </c>
      <c r="K110" t="s">
        <v>44</v>
      </c>
      <c r="L110" t="s">
        <v>10</v>
      </c>
      <c r="M110" t="s">
        <v>130</v>
      </c>
      <c r="N110" t="s">
        <v>130</v>
      </c>
      <c r="O110" t="s">
        <v>130</v>
      </c>
      <c r="P110" t="s">
        <v>129</v>
      </c>
      <c r="Q110">
        <v>0</v>
      </c>
      <c r="R110">
        <v>31074</v>
      </c>
    </row>
    <row r="111" spans="1:18" x14ac:dyDescent="0.25">
      <c r="A111">
        <v>60000110</v>
      </c>
      <c r="B111">
        <v>50</v>
      </c>
      <c r="C111" t="s">
        <v>85</v>
      </c>
      <c r="D111" t="s">
        <v>88</v>
      </c>
      <c r="E111" t="s">
        <v>98</v>
      </c>
      <c r="F111" t="s">
        <v>102</v>
      </c>
      <c r="G111">
        <v>35</v>
      </c>
      <c r="H111" t="s">
        <v>111</v>
      </c>
      <c r="I111" t="s">
        <v>148</v>
      </c>
      <c r="J111" t="s">
        <v>75</v>
      </c>
      <c r="K111" t="s">
        <v>33</v>
      </c>
      <c r="L111" t="s">
        <v>10</v>
      </c>
      <c r="M111" t="s">
        <v>130</v>
      </c>
      <c r="N111" t="s">
        <v>130</v>
      </c>
      <c r="O111" t="s">
        <v>130</v>
      </c>
      <c r="P111" t="s">
        <v>129</v>
      </c>
      <c r="Q111">
        <v>5</v>
      </c>
      <c r="R111">
        <v>40029</v>
      </c>
    </row>
    <row r="112" spans="1:18" x14ac:dyDescent="0.25">
      <c r="A112">
        <v>60000111</v>
      </c>
      <c r="B112">
        <v>51</v>
      </c>
      <c r="C112" t="s">
        <v>85</v>
      </c>
      <c r="D112" t="s">
        <v>87</v>
      </c>
      <c r="E112" t="s">
        <v>91</v>
      </c>
      <c r="F112" t="s">
        <v>102</v>
      </c>
      <c r="G112">
        <v>22</v>
      </c>
      <c r="H112" t="s">
        <v>109</v>
      </c>
      <c r="I112" t="s">
        <v>142</v>
      </c>
      <c r="J112" t="s">
        <v>75</v>
      </c>
      <c r="K112" t="s">
        <v>22</v>
      </c>
      <c r="L112" t="s">
        <v>10</v>
      </c>
      <c r="M112" t="s">
        <v>130</v>
      </c>
      <c r="N112" t="s">
        <v>130</v>
      </c>
      <c r="O112" t="s">
        <v>130</v>
      </c>
      <c r="P112" t="s">
        <v>129</v>
      </c>
      <c r="Q112">
        <v>0</v>
      </c>
      <c r="R112">
        <v>63650</v>
      </c>
    </row>
    <row r="113" spans="1:18" x14ac:dyDescent="0.25">
      <c r="A113">
        <v>60000112</v>
      </c>
      <c r="B113">
        <v>63</v>
      </c>
      <c r="C113" t="s">
        <v>85</v>
      </c>
      <c r="D113" t="s">
        <v>88</v>
      </c>
      <c r="E113" t="s">
        <v>90</v>
      </c>
      <c r="F113" t="s">
        <v>102</v>
      </c>
      <c r="G113">
        <v>28</v>
      </c>
      <c r="H113" t="s">
        <v>110</v>
      </c>
      <c r="I113" t="s">
        <v>29</v>
      </c>
      <c r="J113" t="s">
        <v>53</v>
      </c>
      <c r="K113" t="s">
        <v>27</v>
      </c>
      <c r="L113" t="s">
        <v>10</v>
      </c>
      <c r="M113" t="s">
        <v>130</v>
      </c>
      <c r="N113" t="s">
        <v>130</v>
      </c>
      <c r="O113" t="s">
        <v>130</v>
      </c>
      <c r="P113" t="s">
        <v>130</v>
      </c>
      <c r="Q113">
        <v>0</v>
      </c>
      <c r="R113">
        <v>78866</v>
      </c>
    </row>
    <row r="114" spans="1:18" x14ac:dyDescent="0.25">
      <c r="A114">
        <v>60000113</v>
      </c>
      <c r="B114">
        <v>53</v>
      </c>
      <c r="C114" t="s">
        <v>86</v>
      </c>
      <c r="D114" t="s">
        <v>88</v>
      </c>
      <c r="E114" t="s">
        <v>98</v>
      </c>
      <c r="F114" t="s">
        <v>102</v>
      </c>
      <c r="G114">
        <v>25</v>
      </c>
      <c r="H114" t="s">
        <v>110</v>
      </c>
      <c r="I114" t="s">
        <v>50</v>
      </c>
      <c r="J114" t="s">
        <v>47</v>
      </c>
      <c r="K114" t="s">
        <v>22</v>
      </c>
      <c r="L114" t="s">
        <v>10</v>
      </c>
      <c r="M114" t="s">
        <v>130</v>
      </c>
      <c r="N114" t="s">
        <v>130</v>
      </c>
      <c r="O114" t="s">
        <v>130</v>
      </c>
      <c r="P114" t="s">
        <v>129</v>
      </c>
      <c r="Q114">
        <v>3</v>
      </c>
      <c r="R114">
        <v>51138</v>
      </c>
    </row>
    <row r="115" spans="1:18" x14ac:dyDescent="0.25">
      <c r="A115">
        <v>60000114</v>
      </c>
      <c r="B115">
        <v>50</v>
      </c>
      <c r="C115" t="s">
        <v>86</v>
      </c>
      <c r="D115" t="s">
        <v>87</v>
      </c>
      <c r="E115" t="s">
        <v>93</v>
      </c>
      <c r="F115" t="s">
        <v>102</v>
      </c>
      <c r="G115">
        <v>19</v>
      </c>
      <c r="H115" t="s">
        <v>109</v>
      </c>
      <c r="I115" t="s">
        <v>141</v>
      </c>
      <c r="J115" t="s">
        <v>75</v>
      </c>
      <c r="K115" t="s">
        <v>51</v>
      </c>
      <c r="L115" t="s">
        <v>10</v>
      </c>
      <c r="M115" t="s">
        <v>130</v>
      </c>
      <c r="N115" t="s">
        <v>130</v>
      </c>
      <c r="O115" t="s">
        <v>130</v>
      </c>
      <c r="P115" t="s">
        <v>129</v>
      </c>
      <c r="Q115">
        <v>6</v>
      </c>
      <c r="R115">
        <v>66491</v>
      </c>
    </row>
    <row r="116" spans="1:18" x14ac:dyDescent="0.25">
      <c r="A116">
        <v>60000115</v>
      </c>
      <c r="B116">
        <v>31</v>
      </c>
      <c r="C116" t="s">
        <v>86</v>
      </c>
      <c r="D116" t="s">
        <v>87</v>
      </c>
      <c r="E116" t="s">
        <v>96</v>
      </c>
      <c r="F116" t="s">
        <v>102</v>
      </c>
      <c r="G116">
        <v>17</v>
      </c>
      <c r="H116" t="s">
        <v>132</v>
      </c>
      <c r="I116" t="s">
        <v>146</v>
      </c>
      <c r="J116" t="s">
        <v>47</v>
      </c>
      <c r="K116" t="s">
        <v>15</v>
      </c>
      <c r="L116" t="s">
        <v>10</v>
      </c>
      <c r="M116" t="s">
        <v>130</v>
      </c>
      <c r="N116" t="s">
        <v>130</v>
      </c>
      <c r="O116" t="s">
        <v>130</v>
      </c>
      <c r="P116" t="s">
        <v>129</v>
      </c>
      <c r="Q116">
        <v>3</v>
      </c>
      <c r="R116">
        <v>48516</v>
      </c>
    </row>
    <row r="117" spans="1:18" x14ac:dyDescent="0.25">
      <c r="A117">
        <v>60000116</v>
      </c>
      <c r="B117">
        <v>36</v>
      </c>
      <c r="C117" t="s">
        <v>85</v>
      </c>
      <c r="D117" t="s">
        <v>88</v>
      </c>
      <c r="E117" t="s">
        <v>95</v>
      </c>
      <c r="F117" t="s">
        <v>102</v>
      </c>
      <c r="G117">
        <v>23</v>
      </c>
      <c r="H117" t="s">
        <v>109</v>
      </c>
      <c r="I117" t="s">
        <v>148</v>
      </c>
      <c r="J117" t="s">
        <v>18</v>
      </c>
      <c r="K117" t="s">
        <v>63</v>
      </c>
      <c r="L117" t="s">
        <v>10</v>
      </c>
      <c r="M117" t="s">
        <v>130</v>
      </c>
      <c r="N117" t="s">
        <v>130</v>
      </c>
      <c r="O117" t="s">
        <v>130</v>
      </c>
      <c r="P117" t="s">
        <v>130</v>
      </c>
      <c r="Q117">
        <v>0</v>
      </c>
      <c r="R117">
        <v>58625</v>
      </c>
    </row>
    <row r="118" spans="1:18" x14ac:dyDescent="0.25">
      <c r="A118">
        <v>60000117</v>
      </c>
      <c r="B118">
        <v>38</v>
      </c>
      <c r="C118" t="s">
        <v>86</v>
      </c>
      <c r="D118" t="s">
        <v>87</v>
      </c>
      <c r="E118" t="s">
        <v>5</v>
      </c>
      <c r="F118" t="s">
        <v>102</v>
      </c>
      <c r="G118">
        <v>20</v>
      </c>
      <c r="H118" t="s">
        <v>109</v>
      </c>
      <c r="I118" t="s">
        <v>142</v>
      </c>
      <c r="J118" t="s">
        <v>14</v>
      </c>
      <c r="K118" t="s">
        <v>63</v>
      </c>
      <c r="L118" t="s">
        <v>10</v>
      </c>
      <c r="M118" t="s">
        <v>130</v>
      </c>
      <c r="N118" t="s">
        <v>130</v>
      </c>
      <c r="O118" t="s">
        <v>130</v>
      </c>
      <c r="P118" t="s">
        <v>129</v>
      </c>
      <c r="Q118">
        <v>1</v>
      </c>
      <c r="R118">
        <v>35181</v>
      </c>
    </row>
    <row r="119" spans="1:18" x14ac:dyDescent="0.25">
      <c r="A119">
        <v>60000118</v>
      </c>
      <c r="B119">
        <v>26</v>
      </c>
      <c r="C119" t="s">
        <v>85</v>
      </c>
      <c r="D119" t="s">
        <v>87</v>
      </c>
      <c r="E119" t="s">
        <v>92</v>
      </c>
      <c r="F119" t="s">
        <v>102</v>
      </c>
      <c r="G119">
        <v>28</v>
      </c>
      <c r="H119" t="s">
        <v>110</v>
      </c>
      <c r="I119" t="s">
        <v>11</v>
      </c>
      <c r="J119" t="s">
        <v>62</v>
      </c>
      <c r="K119" t="s">
        <v>73</v>
      </c>
      <c r="L119" t="s">
        <v>10</v>
      </c>
      <c r="M119" t="s">
        <v>130</v>
      </c>
      <c r="N119" t="s">
        <v>130</v>
      </c>
      <c r="O119" t="s">
        <v>130</v>
      </c>
      <c r="P119" t="s">
        <v>130</v>
      </c>
      <c r="Q119">
        <v>0</v>
      </c>
      <c r="R119">
        <v>30585</v>
      </c>
    </row>
    <row r="120" spans="1:18" x14ac:dyDescent="0.25">
      <c r="A120">
        <v>60000119</v>
      </c>
      <c r="B120">
        <v>34</v>
      </c>
      <c r="C120" t="s">
        <v>85</v>
      </c>
      <c r="D120" t="s">
        <v>88</v>
      </c>
      <c r="E120" t="s">
        <v>94</v>
      </c>
      <c r="F120" t="s">
        <v>102</v>
      </c>
      <c r="G120">
        <v>37</v>
      </c>
      <c r="H120" t="s">
        <v>111</v>
      </c>
      <c r="I120" t="s">
        <v>140</v>
      </c>
      <c r="J120" t="s">
        <v>14</v>
      </c>
      <c r="K120" t="s">
        <v>64</v>
      </c>
      <c r="L120" t="s">
        <v>10</v>
      </c>
      <c r="M120" t="s">
        <v>130</v>
      </c>
      <c r="N120" t="s">
        <v>130</v>
      </c>
      <c r="O120" t="s">
        <v>130</v>
      </c>
      <c r="P120" t="s">
        <v>130</v>
      </c>
      <c r="Q120">
        <v>0</v>
      </c>
      <c r="R120">
        <v>52519</v>
      </c>
    </row>
    <row r="121" spans="1:18" x14ac:dyDescent="0.25">
      <c r="A121">
        <v>60000120</v>
      </c>
      <c r="B121">
        <v>35</v>
      </c>
      <c r="C121" t="s">
        <v>85</v>
      </c>
      <c r="D121" t="s">
        <v>87</v>
      </c>
      <c r="E121" t="s">
        <v>90</v>
      </c>
      <c r="F121" t="s">
        <v>102</v>
      </c>
      <c r="G121">
        <v>37</v>
      </c>
      <c r="H121" t="s">
        <v>111</v>
      </c>
      <c r="I121" t="s">
        <v>144</v>
      </c>
      <c r="J121" t="s">
        <v>14</v>
      </c>
      <c r="K121" t="s">
        <v>52</v>
      </c>
      <c r="L121" t="s">
        <v>10</v>
      </c>
      <c r="M121" t="s">
        <v>130</v>
      </c>
      <c r="N121" t="s">
        <v>130</v>
      </c>
      <c r="O121" t="s">
        <v>130</v>
      </c>
      <c r="P121" t="s">
        <v>130</v>
      </c>
      <c r="Q121">
        <v>0</v>
      </c>
      <c r="R121">
        <v>33470</v>
      </c>
    </row>
    <row r="122" spans="1:18" x14ac:dyDescent="0.25">
      <c r="A122">
        <v>60000121</v>
      </c>
      <c r="B122">
        <v>48</v>
      </c>
      <c r="C122" t="s">
        <v>85</v>
      </c>
      <c r="D122" t="s">
        <v>87</v>
      </c>
      <c r="E122" t="s">
        <v>91</v>
      </c>
      <c r="F122" t="s">
        <v>102</v>
      </c>
      <c r="G122">
        <v>20</v>
      </c>
      <c r="H122" t="s">
        <v>109</v>
      </c>
      <c r="I122" t="s">
        <v>141</v>
      </c>
      <c r="J122" t="s">
        <v>16</v>
      </c>
      <c r="K122" t="s">
        <v>13</v>
      </c>
      <c r="L122" t="s">
        <v>10</v>
      </c>
      <c r="M122" t="s">
        <v>130</v>
      </c>
      <c r="N122" t="s">
        <v>130</v>
      </c>
      <c r="O122" t="s">
        <v>130</v>
      </c>
      <c r="P122" t="s">
        <v>130</v>
      </c>
      <c r="Q122">
        <v>0</v>
      </c>
      <c r="R122">
        <v>35876</v>
      </c>
    </row>
    <row r="123" spans="1:18" x14ac:dyDescent="0.25">
      <c r="A123">
        <v>60000122</v>
      </c>
      <c r="B123">
        <v>62</v>
      </c>
      <c r="C123" t="s">
        <v>86</v>
      </c>
      <c r="D123" t="s">
        <v>88</v>
      </c>
      <c r="E123" t="s">
        <v>91</v>
      </c>
      <c r="F123" t="s">
        <v>102</v>
      </c>
      <c r="G123">
        <v>10</v>
      </c>
      <c r="H123" t="s">
        <v>108</v>
      </c>
      <c r="I123" t="s">
        <v>55</v>
      </c>
      <c r="J123" t="s">
        <v>25</v>
      </c>
      <c r="K123" t="s">
        <v>26</v>
      </c>
      <c r="L123" t="s">
        <v>10</v>
      </c>
      <c r="M123" t="s">
        <v>130</v>
      </c>
      <c r="N123" t="s">
        <v>130</v>
      </c>
      <c r="O123" t="s">
        <v>130</v>
      </c>
      <c r="P123" t="s">
        <v>130</v>
      </c>
      <c r="Q123">
        <v>0</v>
      </c>
      <c r="R123">
        <v>27806</v>
      </c>
    </row>
    <row r="124" spans="1:18" x14ac:dyDescent="0.25">
      <c r="A124">
        <v>60000123</v>
      </c>
      <c r="B124">
        <v>63</v>
      </c>
      <c r="C124" t="s">
        <v>86</v>
      </c>
      <c r="D124" t="s">
        <v>87</v>
      </c>
      <c r="E124" t="s">
        <v>94</v>
      </c>
      <c r="F124" t="s">
        <v>102</v>
      </c>
      <c r="G124">
        <v>21</v>
      </c>
      <c r="H124" t="s">
        <v>109</v>
      </c>
      <c r="I124" t="s">
        <v>146</v>
      </c>
      <c r="J124" t="s">
        <v>75</v>
      </c>
      <c r="K124" t="s">
        <v>46</v>
      </c>
      <c r="L124" t="s">
        <v>10</v>
      </c>
      <c r="M124" t="s">
        <v>130</v>
      </c>
      <c r="N124" t="s">
        <v>130</v>
      </c>
      <c r="O124" t="s">
        <v>130</v>
      </c>
      <c r="P124" t="s">
        <v>129</v>
      </c>
      <c r="Q124">
        <v>7</v>
      </c>
      <c r="R124">
        <v>63422</v>
      </c>
    </row>
    <row r="125" spans="1:18" x14ac:dyDescent="0.25">
      <c r="A125">
        <v>60000124</v>
      </c>
      <c r="B125">
        <v>40</v>
      </c>
      <c r="C125" t="s">
        <v>86</v>
      </c>
      <c r="D125" t="s">
        <v>87</v>
      </c>
      <c r="E125" t="s">
        <v>97</v>
      </c>
      <c r="F125" t="s">
        <v>102</v>
      </c>
      <c r="G125">
        <v>21</v>
      </c>
      <c r="H125" t="s">
        <v>109</v>
      </c>
      <c r="I125" t="s">
        <v>141</v>
      </c>
      <c r="J125" t="s">
        <v>62</v>
      </c>
      <c r="K125" t="s">
        <v>60</v>
      </c>
      <c r="L125" t="s">
        <v>10</v>
      </c>
      <c r="M125" t="s">
        <v>130</v>
      </c>
      <c r="N125" t="s">
        <v>130</v>
      </c>
      <c r="O125" t="s">
        <v>130</v>
      </c>
      <c r="P125" t="s">
        <v>129</v>
      </c>
      <c r="Q125">
        <v>4</v>
      </c>
      <c r="R125">
        <v>52615</v>
      </c>
    </row>
    <row r="126" spans="1:18" x14ac:dyDescent="0.25">
      <c r="A126">
        <v>60000125</v>
      </c>
      <c r="B126">
        <v>32</v>
      </c>
      <c r="C126" t="s">
        <v>86</v>
      </c>
      <c r="D126" t="s">
        <v>87</v>
      </c>
      <c r="E126" t="s">
        <v>100</v>
      </c>
      <c r="F126" t="s">
        <v>102</v>
      </c>
      <c r="G126">
        <v>35</v>
      </c>
      <c r="H126" t="s">
        <v>111</v>
      </c>
      <c r="I126" t="s">
        <v>146</v>
      </c>
      <c r="J126" t="s">
        <v>12</v>
      </c>
      <c r="K126" t="s">
        <v>36</v>
      </c>
      <c r="L126" t="s">
        <v>10</v>
      </c>
      <c r="M126" t="s">
        <v>130</v>
      </c>
      <c r="N126" t="s">
        <v>130</v>
      </c>
      <c r="O126" t="s">
        <v>130</v>
      </c>
      <c r="P126" t="s">
        <v>130</v>
      </c>
      <c r="Q126">
        <v>0</v>
      </c>
      <c r="R126">
        <v>77731</v>
      </c>
    </row>
    <row r="127" spans="1:18" x14ac:dyDescent="0.25">
      <c r="A127">
        <v>60000126</v>
      </c>
      <c r="B127">
        <v>54</v>
      </c>
      <c r="C127" t="s">
        <v>86</v>
      </c>
      <c r="D127" t="s">
        <v>88</v>
      </c>
      <c r="E127" t="s">
        <v>93</v>
      </c>
      <c r="F127" t="s">
        <v>102</v>
      </c>
      <c r="G127">
        <v>33</v>
      </c>
      <c r="H127" t="s">
        <v>111</v>
      </c>
      <c r="I127" t="s">
        <v>142</v>
      </c>
      <c r="J127" t="s">
        <v>14</v>
      </c>
      <c r="K127" t="s">
        <v>71</v>
      </c>
      <c r="L127" t="s">
        <v>10</v>
      </c>
      <c r="M127" t="s">
        <v>130</v>
      </c>
      <c r="N127" t="s">
        <v>130</v>
      </c>
      <c r="O127" t="s">
        <v>130</v>
      </c>
      <c r="P127" t="s">
        <v>130</v>
      </c>
      <c r="Q127">
        <v>0</v>
      </c>
      <c r="R127">
        <v>58121</v>
      </c>
    </row>
    <row r="128" spans="1:18" x14ac:dyDescent="0.25">
      <c r="A128">
        <v>60000127</v>
      </c>
      <c r="B128">
        <v>21</v>
      </c>
      <c r="C128" t="s">
        <v>86</v>
      </c>
      <c r="D128" t="s">
        <v>88</v>
      </c>
      <c r="E128" t="s">
        <v>93</v>
      </c>
      <c r="F128" t="s">
        <v>102</v>
      </c>
      <c r="G128">
        <v>23</v>
      </c>
      <c r="H128" t="s">
        <v>109</v>
      </c>
      <c r="I128" t="s">
        <v>50</v>
      </c>
      <c r="J128" t="s">
        <v>32</v>
      </c>
      <c r="K128" t="s">
        <v>22</v>
      </c>
      <c r="L128" t="s">
        <v>10</v>
      </c>
      <c r="M128" t="s">
        <v>130</v>
      </c>
      <c r="N128" t="s">
        <v>130</v>
      </c>
      <c r="O128" t="s">
        <v>130</v>
      </c>
      <c r="P128" t="s">
        <v>129</v>
      </c>
      <c r="Q128">
        <v>4</v>
      </c>
      <c r="R128">
        <v>48154</v>
      </c>
    </row>
    <row r="129" spans="1:18" x14ac:dyDescent="0.25">
      <c r="A129">
        <v>60000128</v>
      </c>
      <c r="B129">
        <v>33</v>
      </c>
      <c r="C129" t="s">
        <v>85</v>
      </c>
      <c r="D129" t="s">
        <v>87</v>
      </c>
      <c r="E129" t="s">
        <v>96</v>
      </c>
      <c r="F129" t="s">
        <v>102</v>
      </c>
      <c r="G129">
        <v>13</v>
      </c>
      <c r="H129" t="s">
        <v>132</v>
      </c>
      <c r="I129" t="s">
        <v>143</v>
      </c>
      <c r="J129" t="s">
        <v>18</v>
      </c>
      <c r="K129" t="s">
        <v>24</v>
      </c>
      <c r="L129" t="s">
        <v>10</v>
      </c>
      <c r="M129" t="s">
        <v>130</v>
      </c>
      <c r="N129" t="s">
        <v>130</v>
      </c>
      <c r="O129" t="s">
        <v>130</v>
      </c>
      <c r="P129" t="s">
        <v>129</v>
      </c>
      <c r="Q129">
        <v>4</v>
      </c>
      <c r="R129">
        <v>30044</v>
      </c>
    </row>
    <row r="130" spans="1:18" x14ac:dyDescent="0.25">
      <c r="A130">
        <v>60000129</v>
      </c>
      <c r="B130">
        <v>41</v>
      </c>
      <c r="C130" t="s">
        <v>86</v>
      </c>
      <c r="D130" t="s">
        <v>88</v>
      </c>
      <c r="E130" t="s">
        <v>95</v>
      </c>
      <c r="F130" t="s">
        <v>102</v>
      </c>
      <c r="G130">
        <v>12</v>
      </c>
      <c r="H130" t="s">
        <v>132</v>
      </c>
      <c r="I130" t="s">
        <v>29</v>
      </c>
      <c r="J130" t="s">
        <v>53</v>
      </c>
      <c r="K130" t="s">
        <v>11</v>
      </c>
      <c r="L130" t="s">
        <v>10</v>
      </c>
      <c r="M130" t="s">
        <v>130</v>
      </c>
      <c r="N130" t="s">
        <v>130</v>
      </c>
      <c r="O130" t="s">
        <v>130</v>
      </c>
      <c r="P130" t="s">
        <v>129</v>
      </c>
      <c r="Q130">
        <v>1</v>
      </c>
      <c r="R130">
        <v>70847</v>
      </c>
    </row>
    <row r="131" spans="1:18" x14ac:dyDescent="0.25">
      <c r="A131">
        <v>60000130</v>
      </c>
      <c r="B131">
        <v>62</v>
      </c>
      <c r="C131" t="s">
        <v>85</v>
      </c>
      <c r="D131" t="s">
        <v>88</v>
      </c>
      <c r="E131" t="s">
        <v>96</v>
      </c>
      <c r="F131" t="s">
        <v>102</v>
      </c>
      <c r="G131">
        <v>15</v>
      </c>
      <c r="H131" t="s">
        <v>132</v>
      </c>
      <c r="I131" t="s">
        <v>139</v>
      </c>
      <c r="J131" t="s">
        <v>14</v>
      </c>
      <c r="K131" t="s">
        <v>34</v>
      </c>
      <c r="L131" t="s">
        <v>10</v>
      </c>
      <c r="M131" t="s">
        <v>130</v>
      </c>
      <c r="N131" t="s">
        <v>130</v>
      </c>
      <c r="O131" t="s">
        <v>130</v>
      </c>
      <c r="P131" t="s">
        <v>129</v>
      </c>
      <c r="Q131">
        <v>1</v>
      </c>
      <c r="R131">
        <v>73043</v>
      </c>
    </row>
    <row r="132" spans="1:18" x14ac:dyDescent="0.25">
      <c r="A132">
        <v>60000131</v>
      </c>
      <c r="B132">
        <v>55</v>
      </c>
      <c r="C132" t="s">
        <v>86</v>
      </c>
      <c r="D132" t="s">
        <v>87</v>
      </c>
      <c r="E132" t="s">
        <v>94</v>
      </c>
      <c r="F132" t="s">
        <v>102</v>
      </c>
      <c r="G132">
        <v>21</v>
      </c>
      <c r="H132" t="s">
        <v>109</v>
      </c>
      <c r="I132" t="s">
        <v>142</v>
      </c>
      <c r="J132" t="s">
        <v>21</v>
      </c>
      <c r="K132" t="s">
        <v>45</v>
      </c>
      <c r="L132" t="s">
        <v>10</v>
      </c>
      <c r="M132" t="s">
        <v>130</v>
      </c>
      <c r="N132" t="s">
        <v>130</v>
      </c>
      <c r="O132" t="s">
        <v>130</v>
      </c>
      <c r="P132" t="s">
        <v>130</v>
      </c>
      <c r="Q132">
        <v>0</v>
      </c>
      <c r="R132">
        <v>31925</v>
      </c>
    </row>
    <row r="133" spans="1:18" x14ac:dyDescent="0.25">
      <c r="A133">
        <v>60000132</v>
      </c>
      <c r="B133">
        <v>60</v>
      </c>
      <c r="C133" t="s">
        <v>86</v>
      </c>
      <c r="D133" t="s">
        <v>87</v>
      </c>
      <c r="E133" t="s">
        <v>100</v>
      </c>
      <c r="F133" t="s">
        <v>102</v>
      </c>
      <c r="G133">
        <v>11</v>
      </c>
      <c r="H133" t="s">
        <v>108</v>
      </c>
      <c r="I133" t="s">
        <v>148</v>
      </c>
      <c r="J133" t="s">
        <v>23</v>
      </c>
      <c r="K133" t="s">
        <v>35</v>
      </c>
      <c r="L133" t="s">
        <v>10</v>
      </c>
      <c r="M133" t="s">
        <v>130</v>
      </c>
      <c r="N133" t="s">
        <v>130</v>
      </c>
      <c r="O133" t="s">
        <v>130</v>
      </c>
      <c r="P133" t="s">
        <v>130</v>
      </c>
      <c r="Q133">
        <v>0</v>
      </c>
      <c r="R133">
        <v>75752</v>
      </c>
    </row>
    <row r="134" spans="1:18" x14ac:dyDescent="0.25">
      <c r="A134">
        <v>60000133</v>
      </c>
      <c r="B134">
        <v>43</v>
      </c>
      <c r="C134" t="s">
        <v>86</v>
      </c>
      <c r="D134" t="s">
        <v>87</v>
      </c>
      <c r="E134" t="s">
        <v>95</v>
      </c>
      <c r="F134" t="s">
        <v>102</v>
      </c>
      <c r="G134">
        <v>21</v>
      </c>
      <c r="H134" t="s">
        <v>109</v>
      </c>
      <c r="I134" t="s">
        <v>146</v>
      </c>
      <c r="J134" t="s">
        <v>9</v>
      </c>
      <c r="K134" t="s">
        <v>63</v>
      </c>
      <c r="L134" t="s">
        <v>10</v>
      </c>
      <c r="M134" t="s">
        <v>130</v>
      </c>
      <c r="N134" t="s">
        <v>130</v>
      </c>
      <c r="O134" t="s">
        <v>130</v>
      </c>
      <c r="P134" t="s">
        <v>130</v>
      </c>
      <c r="Q134">
        <v>0</v>
      </c>
      <c r="R134">
        <v>24793</v>
      </c>
    </row>
    <row r="135" spans="1:18" x14ac:dyDescent="0.25">
      <c r="A135">
        <v>60000134</v>
      </c>
      <c r="B135">
        <v>26</v>
      </c>
      <c r="C135" t="s">
        <v>85</v>
      </c>
      <c r="D135" t="s">
        <v>88</v>
      </c>
      <c r="E135" t="s">
        <v>97</v>
      </c>
      <c r="F135" t="s">
        <v>102</v>
      </c>
      <c r="G135">
        <v>29</v>
      </c>
      <c r="H135" t="s">
        <v>110</v>
      </c>
      <c r="I135" t="s">
        <v>147</v>
      </c>
      <c r="J135" t="s">
        <v>12</v>
      </c>
      <c r="K135" t="s">
        <v>49</v>
      </c>
      <c r="L135" t="s">
        <v>10</v>
      </c>
      <c r="M135" t="s">
        <v>130</v>
      </c>
      <c r="N135" t="s">
        <v>130</v>
      </c>
      <c r="O135" t="s">
        <v>130</v>
      </c>
      <c r="P135" t="s">
        <v>129</v>
      </c>
      <c r="Q135">
        <v>0</v>
      </c>
      <c r="R135">
        <v>58103</v>
      </c>
    </row>
    <row r="136" spans="1:18" x14ac:dyDescent="0.25">
      <c r="A136">
        <v>60000135</v>
      </c>
      <c r="B136">
        <v>60</v>
      </c>
      <c r="C136" t="s">
        <v>85</v>
      </c>
      <c r="D136" t="s">
        <v>88</v>
      </c>
      <c r="E136" t="s">
        <v>91</v>
      </c>
      <c r="F136" t="s">
        <v>102</v>
      </c>
      <c r="G136">
        <v>33</v>
      </c>
      <c r="H136" t="s">
        <v>111</v>
      </c>
      <c r="I136" t="s">
        <v>141</v>
      </c>
      <c r="J136" t="s">
        <v>75</v>
      </c>
      <c r="K136" t="s">
        <v>72</v>
      </c>
      <c r="L136" t="s">
        <v>10</v>
      </c>
      <c r="M136" t="s">
        <v>130</v>
      </c>
      <c r="N136" t="s">
        <v>130</v>
      </c>
      <c r="O136" t="s">
        <v>130</v>
      </c>
      <c r="P136" t="s">
        <v>129</v>
      </c>
      <c r="Q136">
        <v>1</v>
      </c>
      <c r="R136">
        <v>46478</v>
      </c>
    </row>
    <row r="137" spans="1:18" x14ac:dyDescent="0.25">
      <c r="A137">
        <v>60000136</v>
      </c>
      <c r="B137">
        <v>34</v>
      </c>
      <c r="C137" t="s">
        <v>85</v>
      </c>
      <c r="D137" t="s">
        <v>87</v>
      </c>
      <c r="E137" t="s">
        <v>98</v>
      </c>
      <c r="F137" t="s">
        <v>102</v>
      </c>
      <c r="G137">
        <v>30</v>
      </c>
      <c r="H137" t="s">
        <v>110</v>
      </c>
      <c r="I137" t="s">
        <v>141</v>
      </c>
      <c r="J137" t="s">
        <v>32</v>
      </c>
      <c r="K137" t="s">
        <v>45</v>
      </c>
      <c r="L137" t="s">
        <v>10</v>
      </c>
      <c r="M137" t="s">
        <v>130</v>
      </c>
      <c r="N137" t="s">
        <v>130</v>
      </c>
      <c r="O137" t="s">
        <v>130</v>
      </c>
      <c r="P137" t="s">
        <v>129</v>
      </c>
      <c r="Q137">
        <v>3</v>
      </c>
      <c r="R137">
        <v>83401</v>
      </c>
    </row>
    <row r="138" spans="1:18" x14ac:dyDescent="0.25">
      <c r="A138">
        <v>60000137</v>
      </c>
      <c r="B138">
        <v>55</v>
      </c>
      <c r="C138" t="s">
        <v>85</v>
      </c>
      <c r="D138" t="s">
        <v>87</v>
      </c>
      <c r="E138" t="s">
        <v>93</v>
      </c>
      <c r="F138" t="s">
        <v>102</v>
      </c>
      <c r="G138">
        <v>25</v>
      </c>
      <c r="H138" t="s">
        <v>110</v>
      </c>
      <c r="I138" t="s">
        <v>29</v>
      </c>
      <c r="J138" t="s">
        <v>12</v>
      </c>
      <c r="K138" t="s">
        <v>43</v>
      </c>
      <c r="L138" t="s">
        <v>10</v>
      </c>
      <c r="M138" t="s">
        <v>130</v>
      </c>
      <c r="N138" t="s">
        <v>130</v>
      </c>
      <c r="O138" t="s">
        <v>130</v>
      </c>
      <c r="P138" t="s">
        <v>130</v>
      </c>
      <c r="Q138">
        <v>0</v>
      </c>
      <c r="R138">
        <v>61812</v>
      </c>
    </row>
    <row r="139" spans="1:18" x14ac:dyDescent="0.25">
      <c r="A139">
        <v>60000138</v>
      </c>
      <c r="B139">
        <v>26</v>
      </c>
      <c r="C139" t="s">
        <v>85</v>
      </c>
      <c r="D139" t="s">
        <v>87</v>
      </c>
      <c r="E139" t="s">
        <v>97</v>
      </c>
      <c r="F139" t="s">
        <v>102</v>
      </c>
      <c r="G139">
        <v>33</v>
      </c>
      <c r="H139" t="s">
        <v>111</v>
      </c>
      <c r="I139" t="s">
        <v>22</v>
      </c>
      <c r="J139" t="s">
        <v>16</v>
      </c>
      <c r="K139" t="s">
        <v>19</v>
      </c>
      <c r="L139" t="s">
        <v>10</v>
      </c>
      <c r="M139" t="s">
        <v>130</v>
      </c>
      <c r="N139" t="s">
        <v>130</v>
      </c>
      <c r="O139" t="s">
        <v>130</v>
      </c>
      <c r="P139" t="s">
        <v>130</v>
      </c>
      <c r="Q139">
        <v>0</v>
      </c>
      <c r="R139">
        <v>58973</v>
      </c>
    </row>
    <row r="140" spans="1:18" x14ac:dyDescent="0.25">
      <c r="A140">
        <v>60000139</v>
      </c>
      <c r="B140">
        <v>31</v>
      </c>
      <c r="C140" t="s">
        <v>85</v>
      </c>
      <c r="D140" t="s">
        <v>88</v>
      </c>
      <c r="E140" t="s">
        <v>5</v>
      </c>
      <c r="F140" t="s">
        <v>102</v>
      </c>
      <c r="G140">
        <v>23</v>
      </c>
      <c r="H140" t="s">
        <v>109</v>
      </c>
      <c r="I140" t="s">
        <v>11</v>
      </c>
      <c r="J140" t="s">
        <v>62</v>
      </c>
      <c r="K140" t="s">
        <v>38</v>
      </c>
      <c r="L140" t="s">
        <v>10</v>
      </c>
      <c r="M140" t="s">
        <v>130</v>
      </c>
      <c r="N140" t="s">
        <v>130</v>
      </c>
      <c r="O140" t="s">
        <v>130</v>
      </c>
      <c r="P140" t="s">
        <v>130</v>
      </c>
      <c r="Q140">
        <v>0</v>
      </c>
      <c r="R140">
        <v>36477</v>
      </c>
    </row>
    <row r="141" spans="1:18" x14ac:dyDescent="0.25">
      <c r="A141">
        <v>60000140</v>
      </c>
      <c r="B141">
        <v>43</v>
      </c>
      <c r="C141" t="s">
        <v>86</v>
      </c>
      <c r="D141" t="s">
        <v>88</v>
      </c>
      <c r="E141" t="s">
        <v>91</v>
      </c>
      <c r="F141" t="s">
        <v>102</v>
      </c>
      <c r="G141">
        <v>33</v>
      </c>
      <c r="H141" t="s">
        <v>111</v>
      </c>
      <c r="I141" t="s">
        <v>139</v>
      </c>
      <c r="J141" t="s">
        <v>14</v>
      </c>
      <c r="K141" t="s">
        <v>37</v>
      </c>
      <c r="L141" t="s">
        <v>10</v>
      </c>
      <c r="M141" t="s">
        <v>130</v>
      </c>
      <c r="N141" t="s">
        <v>130</v>
      </c>
      <c r="O141" t="s">
        <v>130</v>
      </c>
      <c r="P141" t="s">
        <v>129</v>
      </c>
      <c r="Q141">
        <v>4</v>
      </c>
      <c r="R141">
        <v>33098</v>
      </c>
    </row>
    <row r="142" spans="1:18" x14ac:dyDescent="0.25">
      <c r="A142">
        <v>60000141</v>
      </c>
      <c r="B142">
        <v>55</v>
      </c>
      <c r="C142" t="s">
        <v>85</v>
      </c>
      <c r="D142" t="s">
        <v>88</v>
      </c>
      <c r="E142" t="s">
        <v>95</v>
      </c>
      <c r="F142" t="s">
        <v>102</v>
      </c>
      <c r="G142">
        <v>12</v>
      </c>
      <c r="H142" t="s">
        <v>132</v>
      </c>
      <c r="I142" t="s">
        <v>22</v>
      </c>
      <c r="J142" t="s">
        <v>23</v>
      </c>
      <c r="K142" t="s">
        <v>26</v>
      </c>
      <c r="L142" t="s">
        <v>10</v>
      </c>
      <c r="M142" t="s">
        <v>130</v>
      </c>
      <c r="N142" t="s">
        <v>130</v>
      </c>
      <c r="O142" t="s">
        <v>130</v>
      </c>
      <c r="P142" t="s">
        <v>129</v>
      </c>
      <c r="Q142">
        <v>0</v>
      </c>
      <c r="R142">
        <v>71611</v>
      </c>
    </row>
    <row r="143" spans="1:18" x14ac:dyDescent="0.25">
      <c r="A143">
        <v>60000142</v>
      </c>
      <c r="B143">
        <v>22</v>
      </c>
      <c r="C143" t="s">
        <v>86</v>
      </c>
      <c r="D143" t="s">
        <v>88</v>
      </c>
      <c r="E143" t="s">
        <v>100</v>
      </c>
      <c r="F143" t="s">
        <v>102</v>
      </c>
      <c r="G143">
        <v>38</v>
      </c>
      <c r="H143" t="s">
        <v>111</v>
      </c>
      <c r="I143" t="s">
        <v>148</v>
      </c>
      <c r="J143" t="s">
        <v>23</v>
      </c>
      <c r="K143" t="s">
        <v>64</v>
      </c>
      <c r="L143" t="s">
        <v>10</v>
      </c>
      <c r="M143" t="s">
        <v>130</v>
      </c>
      <c r="N143" t="s">
        <v>130</v>
      </c>
      <c r="O143" t="s">
        <v>130</v>
      </c>
      <c r="P143" t="s">
        <v>130</v>
      </c>
      <c r="Q143">
        <v>0</v>
      </c>
      <c r="R143">
        <v>29276</v>
      </c>
    </row>
    <row r="144" spans="1:18" x14ac:dyDescent="0.25">
      <c r="A144">
        <v>60000143</v>
      </c>
      <c r="B144">
        <v>44</v>
      </c>
      <c r="C144" t="s">
        <v>85</v>
      </c>
      <c r="D144" t="s">
        <v>88</v>
      </c>
      <c r="E144" t="s">
        <v>100</v>
      </c>
      <c r="F144" t="s">
        <v>102</v>
      </c>
      <c r="G144">
        <v>35</v>
      </c>
      <c r="H144" t="s">
        <v>111</v>
      </c>
      <c r="I144" t="s">
        <v>145</v>
      </c>
      <c r="J144" t="s">
        <v>32</v>
      </c>
      <c r="K144" t="s">
        <v>65</v>
      </c>
      <c r="L144" t="s">
        <v>10</v>
      </c>
      <c r="M144" t="s">
        <v>130</v>
      </c>
      <c r="N144" t="s">
        <v>130</v>
      </c>
      <c r="O144" t="s">
        <v>130</v>
      </c>
      <c r="P144" t="s">
        <v>129</v>
      </c>
      <c r="Q144">
        <v>2</v>
      </c>
      <c r="R144">
        <v>26313</v>
      </c>
    </row>
    <row r="145" spans="1:18" x14ac:dyDescent="0.25">
      <c r="A145">
        <v>60000144</v>
      </c>
      <c r="B145">
        <v>51</v>
      </c>
      <c r="C145" t="s">
        <v>86</v>
      </c>
      <c r="D145" t="s">
        <v>87</v>
      </c>
      <c r="E145" t="s">
        <v>92</v>
      </c>
      <c r="F145" t="s">
        <v>102</v>
      </c>
      <c r="G145">
        <v>15</v>
      </c>
      <c r="H145" t="s">
        <v>132</v>
      </c>
      <c r="I145" t="s">
        <v>142</v>
      </c>
      <c r="J145" t="s">
        <v>21</v>
      </c>
      <c r="K145" t="s">
        <v>56</v>
      </c>
      <c r="L145" t="s">
        <v>10</v>
      </c>
      <c r="M145" t="s">
        <v>130</v>
      </c>
      <c r="N145" t="s">
        <v>130</v>
      </c>
      <c r="O145" t="s">
        <v>130</v>
      </c>
      <c r="P145" t="s">
        <v>130</v>
      </c>
      <c r="Q145">
        <v>0</v>
      </c>
      <c r="R145">
        <v>35278</v>
      </c>
    </row>
    <row r="146" spans="1:18" x14ac:dyDescent="0.25">
      <c r="A146">
        <v>60000145</v>
      </c>
      <c r="B146">
        <v>62</v>
      </c>
      <c r="C146" t="s">
        <v>86</v>
      </c>
      <c r="D146" t="s">
        <v>87</v>
      </c>
      <c r="E146" t="s">
        <v>95</v>
      </c>
      <c r="F146" t="s">
        <v>102</v>
      </c>
      <c r="G146">
        <v>16</v>
      </c>
      <c r="H146" t="s">
        <v>132</v>
      </c>
      <c r="I146" t="s">
        <v>148</v>
      </c>
      <c r="J146" t="s">
        <v>75</v>
      </c>
      <c r="K146" t="s">
        <v>65</v>
      </c>
      <c r="L146" t="s">
        <v>10</v>
      </c>
      <c r="M146" t="s">
        <v>130</v>
      </c>
      <c r="N146" t="s">
        <v>130</v>
      </c>
      <c r="O146" t="s">
        <v>130</v>
      </c>
      <c r="P146" t="s">
        <v>129</v>
      </c>
      <c r="Q146">
        <v>2</v>
      </c>
      <c r="R146">
        <v>72189</v>
      </c>
    </row>
    <row r="147" spans="1:18" x14ac:dyDescent="0.25">
      <c r="A147">
        <v>60000146</v>
      </c>
      <c r="B147">
        <v>46</v>
      </c>
      <c r="C147" t="s">
        <v>85</v>
      </c>
      <c r="D147" t="s">
        <v>88</v>
      </c>
      <c r="E147" t="s">
        <v>95</v>
      </c>
      <c r="F147" t="s">
        <v>102</v>
      </c>
      <c r="G147">
        <v>19</v>
      </c>
      <c r="H147" t="s">
        <v>109</v>
      </c>
      <c r="I147" t="s">
        <v>55</v>
      </c>
      <c r="J147" t="s">
        <v>16</v>
      </c>
      <c r="K147" t="s">
        <v>40</v>
      </c>
      <c r="L147" t="s">
        <v>10</v>
      </c>
      <c r="M147" t="s">
        <v>130</v>
      </c>
      <c r="N147" t="s">
        <v>130</v>
      </c>
      <c r="O147" t="s">
        <v>130</v>
      </c>
      <c r="P147" t="s">
        <v>130</v>
      </c>
      <c r="Q147">
        <v>0</v>
      </c>
      <c r="R147">
        <v>47169</v>
      </c>
    </row>
    <row r="148" spans="1:18" x14ac:dyDescent="0.25">
      <c r="A148">
        <v>60000147</v>
      </c>
      <c r="B148">
        <v>22</v>
      </c>
      <c r="C148" t="s">
        <v>86</v>
      </c>
      <c r="D148" t="s">
        <v>87</v>
      </c>
      <c r="E148" t="s">
        <v>90</v>
      </c>
      <c r="F148" t="s">
        <v>102</v>
      </c>
      <c r="G148">
        <v>37</v>
      </c>
      <c r="H148" t="s">
        <v>111</v>
      </c>
      <c r="I148" t="s">
        <v>50</v>
      </c>
      <c r="J148" t="s">
        <v>23</v>
      </c>
      <c r="K148" t="s">
        <v>48</v>
      </c>
      <c r="L148" t="s">
        <v>10</v>
      </c>
      <c r="M148" t="s">
        <v>130</v>
      </c>
      <c r="N148" t="s">
        <v>130</v>
      </c>
      <c r="O148" t="s">
        <v>130</v>
      </c>
      <c r="P148" t="s">
        <v>130</v>
      </c>
      <c r="Q148">
        <v>0</v>
      </c>
      <c r="R148">
        <v>33136</v>
      </c>
    </row>
    <row r="149" spans="1:18" x14ac:dyDescent="0.25">
      <c r="A149">
        <v>60000148</v>
      </c>
      <c r="B149">
        <v>47</v>
      </c>
      <c r="C149" t="s">
        <v>85</v>
      </c>
      <c r="D149" t="s">
        <v>88</v>
      </c>
      <c r="E149" t="s">
        <v>95</v>
      </c>
      <c r="F149" t="s">
        <v>102</v>
      </c>
      <c r="G149">
        <v>18</v>
      </c>
      <c r="H149" t="s">
        <v>132</v>
      </c>
      <c r="I149" t="s">
        <v>142</v>
      </c>
      <c r="J149" t="s">
        <v>25</v>
      </c>
      <c r="K149" t="s">
        <v>36</v>
      </c>
      <c r="L149" t="s">
        <v>10</v>
      </c>
      <c r="M149" t="s">
        <v>130</v>
      </c>
      <c r="N149" t="s">
        <v>130</v>
      </c>
      <c r="O149" t="s">
        <v>130</v>
      </c>
      <c r="P149" t="s">
        <v>129</v>
      </c>
      <c r="Q149">
        <v>7</v>
      </c>
      <c r="R149">
        <v>60885</v>
      </c>
    </row>
    <row r="150" spans="1:18" x14ac:dyDescent="0.25">
      <c r="A150">
        <v>60000149</v>
      </c>
      <c r="B150">
        <v>63</v>
      </c>
      <c r="C150" t="s">
        <v>85</v>
      </c>
      <c r="D150" t="s">
        <v>87</v>
      </c>
      <c r="E150" t="s">
        <v>94</v>
      </c>
      <c r="F150" t="s">
        <v>102</v>
      </c>
      <c r="G150">
        <v>20</v>
      </c>
      <c r="H150" t="s">
        <v>109</v>
      </c>
      <c r="I150" t="s">
        <v>146</v>
      </c>
      <c r="J150" t="s">
        <v>21</v>
      </c>
      <c r="K150" t="s">
        <v>48</v>
      </c>
      <c r="L150" t="s">
        <v>10</v>
      </c>
      <c r="M150" t="s">
        <v>130</v>
      </c>
      <c r="N150" t="s">
        <v>130</v>
      </c>
      <c r="O150" t="s">
        <v>130</v>
      </c>
      <c r="P150" t="s">
        <v>129</v>
      </c>
      <c r="Q150">
        <v>2</v>
      </c>
      <c r="R150">
        <v>74807</v>
      </c>
    </row>
    <row r="151" spans="1:18" x14ac:dyDescent="0.25">
      <c r="A151">
        <v>60000150</v>
      </c>
      <c r="B151">
        <v>52</v>
      </c>
      <c r="C151" t="s">
        <v>86</v>
      </c>
      <c r="D151" t="s">
        <v>88</v>
      </c>
      <c r="E151" t="s">
        <v>95</v>
      </c>
      <c r="F151" t="s">
        <v>102</v>
      </c>
      <c r="G151">
        <v>10</v>
      </c>
      <c r="H151" t="s">
        <v>108</v>
      </c>
      <c r="I151" t="s">
        <v>148</v>
      </c>
      <c r="J151" t="s">
        <v>14</v>
      </c>
      <c r="K151" t="s">
        <v>74</v>
      </c>
      <c r="L151" t="s">
        <v>10</v>
      </c>
      <c r="M151" t="s">
        <v>130</v>
      </c>
      <c r="N151" t="s">
        <v>130</v>
      </c>
      <c r="O151" t="s">
        <v>130</v>
      </c>
      <c r="P151" t="s">
        <v>129</v>
      </c>
      <c r="Q151">
        <v>5</v>
      </c>
      <c r="R151">
        <v>60944</v>
      </c>
    </row>
    <row r="152" spans="1:18" x14ac:dyDescent="0.25">
      <c r="A152">
        <v>60000151</v>
      </c>
      <c r="B152">
        <v>31</v>
      </c>
      <c r="C152" t="s">
        <v>85</v>
      </c>
      <c r="D152" t="s">
        <v>87</v>
      </c>
      <c r="E152" t="s">
        <v>91</v>
      </c>
      <c r="F152" t="s">
        <v>102</v>
      </c>
      <c r="G152">
        <v>23</v>
      </c>
      <c r="H152" t="s">
        <v>109</v>
      </c>
      <c r="I152" t="s">
        <v>55</v>
      </c>
      <c r="J152" t="s">
        <v>23</v>
      </c>
      <c r="K152" t="s">
        <v>39</v>
      </c>
      <c r="L152" t="s">
        <v>10</v>
      </c>
      <c r="M152" t="s">
        <v>130</v>
      </c>
      <c r="N152" t="s">
        <v>130</v>
      </c>
      <c r="O152" t="s">
        <v>130</v>
      </c>
      <c r="P152" t="s">
        <v>130</v>
      </c>
      <c r="Q152">
        <v>0</v>
      </c>
      <c r="R152">
        <v>58918</v>
      </c>
    </row>
    <row r="153" spans="1:18" x14ac:dyDescent="0.25">
      <c r="A153">
        <v>60000152</v>
      </c>
      <c r="B153">
        <v>24</v>
      </c>
      <c r="C153" t="s">
        <v>85</v>
      </c>
      <c r="D153" t="s">
        <v>87</v>
      </c>
      <c r="E153" t="s">
        <v>91</v>
      </c>
      <c r="F153" t="s">
        <v>102</v>
      </c>
      <c r="G153">
        <v>35</v>
      </c>
      <c r="H153" t="s">
        <v>111</v>
      </c>
      <c r="I153" t="s">
        <v>147</v>
      </c>
      <c r="J153" t="s">
        <v>47</v>
      </c>
      <c r="K153" t="s">
        <v>52</v>
      </c>
      <c r="L153" t="s">
        <v>10</v>
      </c>
      <c r="M153" t="s">
        <v>130</v>
      </c>
      <c r="N153" t="s">
        <v>130</v>
      </c>
      <c r="O153" t="s">
        <v>130</v>
      </c>
      <c r="P153" t="s">
        <v>130</v>
      </c>
      <c r="Q153">
        <v>0</v>
      </c>
      <c r="R153">
        <v>37923</v>
      </c>
    </row>
    <row r="154" spans="1:18" x14ac:dyDescent="0.25">
      <c r="A154">
        <v>60000153</v>
      </c>
      <c r="B154">
        <v>38</v>
      </c>
      <c r="C154" t="s">
        <v>86</v>
      </c>
      <c r="D154" t="s">
        <v>87</v>
      </c>
      <c r="E154" t="s">
        <v>93</v>
      </c>
      <c r="F154" t="s">
        <v>102</v>
      </c>
      <c r="G154">
        <v>36</v>
      </c>
      <c r="H154" t="s">
        <v>111</v>
      </c>
      <c r="I154" t="s">
        <v>150</v>
      </c>
      <c r="J154" t="s">
        <v>53</v>
      </c>
      <c r="K154" t="s">
        <v>27</v>
      </c>
      <c r="L154" t="s">
        <v>10</v>
      </c>
      <c r="M154" t="s">
        <v>130</v>
      </c>
      <c r="N154" t="s">
        <v>130</v>
      </c>
      <c r="O154" t="s">
        <v>130</v>
      </c>
      <c r="P154" t="s">
        <v>130</v>
      </c>
      <c r="Q154">
        <v>0</v>
      </c>
      <c r="R154">
        <v>75896</v>
      </c>
    </row>
    <row r="155" spans="1:18" x14ac:dyDescent="0.25">
      <c r="A155">
        <v>60000154</v>
      </c>
      <c r="B155">
        <v>35</v>
      </c>
      <c r="C155" t="s">
        <v>86</v>
      </c>
      <c r="D155" t="s">
        <v>87</v>
      </c>
      <c r="E155" t="s">
        <v>93</v>
      </c>
      <c r="F155" t="s">
        <v>102</v>
      </c>
      <c r="G155">
        <v>16</v>
      </c>
      <c r="H155" t="s">
        <v>132</v>
      </c>
      <c r="I155" t="s">
        <v>144</v>
      </c>
      <c r="J155" t="s">
        <v>53</v>
      </c>
      <c r="K155" t="s">
        <v>61</v>
      </c>
      <c r="L155" t="s">
        <v>10</v>
      </c>
      <c r="M155" t="s">
        <v>130</v>
      </c>
      <c r="N155" t="s">
        <v>130</v>
      </c>
      <c r="O155" t="s">
        <v>130</v>
      </c>
      <c r="P155" t="s">
        <v>130</v>
      </c>
      <c r="Q155">
        <v>0</v>
      </c>
      <c r="R155">
        <v>39248</v>
      </c>
    </row>
    <row r="156" spans="1:18" x14ac:dyDescent="0.25">
      <c r="A156">
        <v>60000155</v>
      </c>
      <c r="B156">
        <v>58</v>
      </c>
      <c r="C156" t="s">
        <v>86</v>
      </c>
      <c r="D156" t="s">
        <v>88</v>
      </c>
      <c r="E156" t="s">
        <v>96</v>
      </c>
      <c r="F156" t="s">
        <v>102</v>
      </c>
      <c r="G156">
        <v>32</v>
      </c>
      <c r="H156" t="s">
        <v>111</v>
      </c>
      <c r="I156" t="s">
        <v>50</v>
      </c>
      <c r="J156" t="s">
        <v>16</v>
      </c>
      <c r="K156" t="s">
        <v>51</v>
      </c>
      <c r="L156" t="s">
        <v>10</v>
      </c>
      <c r="M156" t="s">
        <v>130</v>
      </c>
      <c r="N156" t="s">
        <v>130</v>
      </c>
      <c r="O156" t="s">
        <v>130</v>
      </c>
      <c r="P156" t="s">
        <v>129</v>
      </c>
      <c r="Q156">
        <v>2</v>
      </c>
      <c r="R156">
        <v>61793</v>
      </c>
    </row>
    <row r="157" spans="1:18" x14ac:dyDescent="0.25">
      <c r="A157">
        <v>60000156</v>
      </c>
      <c r="B157">
        <v>43</v>
      </c>
      <c r="C157" t="s">
        <v>86</v>
      </c>
      <c r="D157" t="s">
        <v>88</v>
      </c>
      <c r="E157" t="s">
        <v>94</v>
      </c>
      <c r="F157" t="s">
        <v>102</v>
      </c>
      <c r="G157">
        <v>35</v>
      </c>
      <c r="H157" t="s">
        <v>111</v>
      </c>
      <c r="I157" t="s">
        <v>150</v>
      </c>
      <c r="J157" t="s">
        <v>18</v>
      </c>
      <c r="K157" t="s">
        <v>29</v>
      </c>
      <c r="L157" t="s">
        <v>10</v>
      </c>
      <c r="M157" t="s">
        <v>130</v>
      </c>
      <c r="N157" t="s">
        <v>130</v>
      </c>
      <c r="O157" t="s">
        <v>130</v>
      </c>
      <c r="P157" t="s">
        <v>130</v>
      </c>
      <c r="Q157">
        <v>0</v>
      </c>
      <c r="R157">
        <v>84062</v>
      </c>
    </row>
    <row r="158" spans="1:18" x14ac:dyDescent="0.25">
      <c r="A158">
        <v>60000157</v>
      </c>
      <c r="B158">
        <v>36</v>
      </c>
      <c r="C158" t="s">
        <v>86</v>
      </c>
      <c r="D158" t="s">
        <v>88</v>
      </c>
      <c r="E158" t="s">
        <v>93</v>
      </c>
      <c r="F158" t="s">
        <v>102</v>
      </c>
      <c r="G158">
        <v>11</v>
      </c>
      <c r="H158" t="s">
        <v>108</v>
      </c>
      <c r="I158" t="s">
        <v>29</v>
      </c>
      <c r="J158" t="s">
        <v>16</v>
      </c>
      <c r="K158" t="s">
        <v>15</v>
      </c>
      <c r="L158" t="s">
        <v>10</v>
      </c>
      <c r="M158" t="s">
        <v>130</v>
      </c>
      <c r="N158" t="s">
        <v>130</v>
      </c>
      <c r="O158" t="s">
        <v>130</v>
      </c>
      <c r="P158" t="s">
        <v>129</v>
      </c>
      <c r="Q158">
        <v>6</v>
      </c>
      <c r="R158">
        <v>50759</v>
      </c>
    </row>
    <row r="159" spans="1:18" x14ac:dyDescent="0.25">
      <c r="A159">
        <v>60000158</v>
      </c>
      <c r="B159">
        <v>35</v>
      </c>
      <c r="C159" t="s">
        <v>86</v>
      </c>
      <c r="D159" t="s">
        <v>87</v>
      </c>
      <c r="E159" t="s">
        <v>92</v>
      </c>
      <c r="F159" t="s">
        <v>102</v>
      </c>
      <c r="G159">
        <v>31</v>
      </c>
      <c r="H159" t="s">
        <v>110</v>
      </c>
      <c r="I159" t="s">
        <v>140</v>
      </c>
      <c r="J159" t="s">
        <v>25</v>
      </c>
      <c r="K159" t="s">
        <v>15</v>
      </c>
      <c r="L159" t="s">
        <v>10</v>
      </c>
      <c r="M159" t="s">
        <v>130</v>
      </c>
      <c r="N159" t="s">
        <v>130</v>
      </c>
      <c r="O159" t="s">
        <v>130</v>
      </c>
      <c r="P159" t="s">
        <v>129</v>
      </c>
      <c r="Q159">
        <v>6</v>
      </c>
      <c r="R159">
        <v>29568</v>
      </c>
    </row>
    <row r="160" spans="1:18" x14ac:dyDescent="0.25">
      <c r="A160">
        <v>60000159</v>
      </c>
      <c r="B160">
        <v>54</v>
      </c>
      <c r="C160" t="s">
        <v>85</v>
      </c>
      <c r="D160" t="s">
        <v>88</v>
      </c>
      <c r="E160" t="s">
        <v>5</v>
      </c>
      <c r="F160" t="s">
        <v>102</v>
      </c>
      <c r="G160">
        <v>27</v>
      </c>
      <c r="H160" t="s">
        <v>110</v>
      </c>
      <c r="I160" t="s">
        <v>142</v>
      </c>
      <c r="J160" t="s">
        <v>14</v>
      </c>
      <c r="K160" t="s">
        <v>11</v>
      </c>
      <c r="L160" t="s">
        <v>10</v>
      </c>
      <c r="M160" t="s">
        <v>130</v>
      </c>
      <c r="N160" t="s">
        <v>130</v>
      </c>
      <c r="O160" t="s">
        <v>130</v>
      </c>
      <c r="P160" t="s">
        <v>129</v>
      </c>
      <c r="Q160">
        <v>3</v>
      </c>
      <c r="R160">
        <v>71682</v>
      </c>
    </row>
    <row r="161" spans="1:18" x14ac:dyDescent="0.25">
      <c r="A161">
        <v>60000160</v>
      </c>
      <c r="B161">
        <v>52</v>
      </c>
      <c r="C161" t="s">
        <v>86</v>
      </c>
      <c r="D161" t="s">
        <v>88</v>
      </c>
      <c r="E161" t="s">
        <v>90</v>
      </c>
      <c r="F161" t="s">
        <v>102</v>
      </c>
      <c r="G161">
        <v>19</v>
      </c>
      <c r="H161" t="s">
        <v>109</v>
      </c>
      <c r="I161" t="s">
        <v>144</v>
      </c>
      <c r="J161" t="s">
        <v>23</v>
      </c>
      <c r="K161" t="s">
        <v>40</v>
      </c>
      <c r="L161" t="s">
        <v>10</v>
      </c>
      <c r="M161" t="s">
        <v>130</v>
      </c>
      <c r="N161" t="s">
        <v>130</v>
      </c>
      <c r="O161" t="s">
        <v>130</v>
      </c>
      <c r="P161" t="s">
        <v>130</v>
      </c>
      <c r="Q161">
        <v>0</v>
      </c>
      <c r="R161">
        <v>70908</v>
      </c>
    </row>
    <row r="162" spans="1:18" x14ac:dyDescent="0.25">
      <c r="A162">
        <v>60000161</v>
      </c>
      <c r="B162">
        <v>58</v>
      </c>
      <c r="C162" t="s">
        <v>86</v>
      </c>
      <c r="D162" t="s">
        <v>87</v>
      </c>
      <c r="E162" t="s">
        <v>98</v>
      </c>
      <c r="F162" t="s">
        <v>102</v>
      </c>
      <c r="G162">
        <v>27</v>
      </c>
      <c r="H162" t="s">
        <v>110</v>
      </c>
      <c r="I162" t="s">
        <v>55</v>
      </c>
      <c r="J162" t="s">
        <v>23</v>
      </c>
      <c r="K162" t="s">
        <v>20</v>
      </c>
      <c r="L162" t="s">
        <v>10</v>
      </c>
      <c r="M162" t="s">
        <v>130</v>
      </c>
      <c r="N162" t="s">
        <v>130</v>
      </c>
      <c r="O162" t="s">
        <v>130</v>
      </c>
      <c r="P162" t="s">
        <v>129</v>
      </c>
      <c r="Q162">
        <v>4</v>
      </c>
      <c r="R162">
        <v>62729</v>
      </c>
    </row>
    <row r="163" spans="1:18" x14ac:dyDescent="0.25">
      <c r="A163">
        <v>60000162</v>
      </c>
      <c r="B163">
        <v>25</v>
      </c>
      <c r="C163" t="s">
        <v>85</v>
      </c>
      <c r="D163" t="s">
        <v>87</v>
      </c>
      <c r="E163" t="s">
        <v>5</v>
      </c>
      <c r="F163" t="s">
        <v>102</v>
      </c>
      <c r="G163">
        <v>21</v>
      </c>
      <c r="H163" t="s">
        <v>109</v>
      </c>
      <c r="I163" t="s">
        <v>139</v>
      </c>
      <c r="J163" t="s">
        <v>23</v>
      </c>
      <c r="K163" t="s">
        <v>60</v>
      </c>
      <c r="L163" t="s">
        <v>10</v>
      </c>
      <c r="M163" t="s">
        <v>130</v>
      </c>
      <c r="N163" t="s">
        <v>130</v>
      </c>
      <c r="O163" t="s">
        <v>130</v>
      </c>
      <c r="P163" t="s">
        <v>129</v>
      </c>
      <c r="Q163">
        <v>5</v>
      </c>
      <c r="R163">
        <v>51872</v>
      </c>
    </row>
    <row r="164" spans="1:18" x14ac:dyDescent="0.25">
      <c r="A164">
        <v>60000163</v>
      </c>
      <c r="B164">
        <v>35</v>
      </c>
      <c r="C164" t="s">
        <v>85</v>
      </c>
      <c r="D164" t="s">
        <v>87</v>
      </c>
      <c r="E164" t="s">
        <v>100</v>
      </c>
      <c r="F164" t="s">
        <v>102</v>
      </c>
      <c r="G164">
        <v>37</v>
      </c>
      <c r="H164" t="s">
        <v>111</v>
      </c>
      <c r="I164" t="s">
        <v>141</v>
      </c>
      <c r="J164" t="s">
        <v>12</v>
      </c>
      <c r="K164" t="s">
        <v>39</v>
      </c>
      <c r="L164" t="s">
        <v>10</v>
      </c>
      <c r="M164" t="s">
        <v>130</v>
      </c>
      <c r="N164" t="s">
        <v>130</v>
      </c>
      <c r="O164" t="s">
        <v>130</v>
      </c>
      <c r="P164" t="s">
        <v>130</v>
      </c>
      <c r="Q164">
        <v>0</v>
      </c>
      <c r="R164">
        <v>41202</v>
      </c>
    </row>
    <row r="165" spans="1:18" x14ac:dyDescent="0.25">
      <c r="A165">
        <v>60000164</v>
      </c>
      <c r="B165">
        <v>21</v>
      </c>
      <c r="C165" t="s">
        <v>86</v>
      </c>
      <c r="D165" t="s">
        <v>88</v>
      </c>
      <c r="E165" t="s">
        <v>96</v>
      </c>
      <c r="F165" t="s">
        <v>102</v>
      </c>
      <c r="G165">
        <v>33</v>
      </c>
      <c r="H165" t="s">
        <v>111</v>
      </c>
      <c r="I165" t="s">
        <v>145</v>
      </c>
      <c r="J165" t="s">
        <v>25</v>
      </c>
      <c r="K165" t="s">
        <v>69</v>
      </c>
      <c r="L165" t="s">
        <v>10</v>
      </c>
      <c r="M165" t="s">
        <v>130</v>
      </c>
      <c r="N165" t="s">
        <v>130</v>
      </c>
      <c r="O165" t="s">
        <v>130</v>
      </c>
      <c r="P165" t="s">
        <v>129</v>
      </c>
      <c r="Q165">
        <v>6</v>
      </c>
      <c r="R165">
        <v>54180</v>
      </c>
    </row>
    <row r="166" spans="1:18" x14ac:dyDescent="0.25">
      <c r="A166">
        <v>60000165</v>
      </c>
      <c r="B166">
        <v>59</v>
      </c>
      <c r="C166" t="s">
        <v>86</v>
      </c>
      <c r="D166" t="s">
        <v>87</v>
      </c>
      <c r="E166" t="s">
        <v>90</v>
      </c>
      <c r="F166" t="s">
        <v>102</v>
      </c>
      <c r="G166">
        <v>12</v>
      </c>
      <c r="H166" t="s">
        <v>132</v>
      </c>
      <c r="I166" t="s">
        <v>11</v>
      </c>
      <c r="J166" t="s">
        <v>47</v>
      </c>
      <c r="K166" t="s">
        <v>11</v>
      </c>
      <c r="L166" t="s">
        <v>10</v>
      </c>
      <c r="M166" t="s">
        <v>130</v>
      </c>
      <c r="N166" t="s">
        <v>130</v>
      </c>
      <c r="O166" t="s">
        <v>130</v>
      </c>
      <c r="P166" t="s">
        <v>129</v>
      </c>
      <c r="Q166">
        <v>6</v>
      </c>
      <c r="R166">
        <v>59795</v>
      </c>
    </row>
    <row r="167" spans="1:18" x14ac:dyDescent="0.25">
      <c r="A167">
        <v>60000166</v>
      </c>
      <c r="B167">
        <v>27</v>
      </c>
      <c r="C167" t="s">
        <v>86</v>
      </c>
      <c r="D167" t="s">
        <v>87</v>
      </c>
      <c r="E167" t="s">
        <v>91</v>
      </c>
      <c r="F167" t="s">
        <v>102</v>
      </c>
      <c r="G167">
        <v>37</v>
      </c>
      <c r="H167" t="s">
        <v>111</v>
      </c>
      <c r="I167" t="s">
        <v>141</v>
      </c>
      <c r="J167" t="s">
        <v>75</v>
      </c>
      <c r="K167" t="s">
        <v>49</v>
      </c>
      <c r="L167" t="s">
        <v>10</v>
      </c>
      <c r="M167" t="s">
        <v>130</v>
      </c>
      <c r="N167" t="s">
        <v>130</v>
      </c>
      <c r="O167" t="s">
        <v>130</v>
      </c>
      <c r="P167" t="s">
        <v>130</v>
      </c>
      <c r="Q167">
        <v>0</v>
      </c>
      <c r="R167">
        <v>26722</v>
      </c>
    </row>
    <row r="168" spans="1:18" x14ac:dyDescent="0.25">
      <c r="A168">
        <v>60000167</v>
      </c>
      <c r="B168">
        <v>63</v>
      </c>
      <c r="C168" t="s">
        <v>86</v>
      </c>
      <c r="D168" t="s">
        <v>87</v>
      </c>
      <c r="E168" t="s">
        <v>100</v>
      </c>
      <c r="F168" t="s">
        <v>102</v>
      </c>
      <c r="G168">
        <v>36</v>
      </c>
      <c r="H168" t="s">
        <v>111</v>
      </c>
      <c r="I168" t="s">
        <v>29</v>
      </c>
      <c r="J168" t="s">
        <v>14</v>
      </c>
      <c r="K168" t="s">
        <v>71</v>
      </c>
      <c r="L168" t="s">
        <v>10</v>
      </c>
      <c r="M168" t="s">
        <v>130</v>
      </c>
      <c r="N168" t="s">
        <v>130</v>
      </c>
      <c r="O168" t="s">
        <v>130</v>
      </c>
      <c r="P168" t="s">
        <v>129</v>
      </c>
      <c r="Q168">
        <v>0</v>
      </c>
      <c r="R168">
        <v>39648</v>
      </c>
    </row>
    <row r="169" spans="1:18" x14ac:dyDescent="0.25">
      <c r="A169">
        <v>60000168</v>
      </c>
      <c r="B169">
        <v>45</v>
      </c>
      <c r="C169" t="s">
        <v>86</v>
      </c>
      <c r="D169" t="s">
        <v>88</v>
      </c>
      <c r="E169" t="s">
        <v>95</v>
      </c>
      <c r="F169" t="s">
        <v>102</v>
      </c>
      <c r="G169">
        <v>35</v>
      </c>
      <c r="H169" t="s">
        <v>111</v>
      </c>
      <c r="I169" t="s">
        <v>11</v>
      </c>
      <c r="J169" t="s">
        <v>25</v>
      </c>
      <c r="K169" t="s">
        <v>43</v>
      </c>
      <c r="L169" t="s">
        <v>10</v>
      </c>
      <c r="M169" t="s">
        <v>130</v>
      </c>
      <c r="N169" t="s">
        <v>130</v>
      </c>
      <c r="O169" t="s">
        <v>130</v>
      </c>
      <c r="P169" t="s">
        <v>129</v>
      </c>
      <c r="Q169">
        <v>5</v>
      </c>
      <c r="R169">
        <v>63995</v>
      </c>
    </row>
    <row r="170" spans="1:18" x14ac:dyDescent="0.25">
      <c r="A170">
        <v>60000169</v>
      </c>
      <c r="B170">
        <v>56</v>
      </c>
      <c r="C170" t="s">
        <v>86</v>
      </c>
      <c r="D170" t="s">
        <v>88</v>
      </c>
      <c r="E170" t="s">
        <v>98</v>
      </c>
      <c r="F170" t="s">
        <v>102</v>
      </c>
      <c r="G170">
        <v>25</v>
      </c>
      <c r="H170" t="s">
        <v>110</v>
      </c>
      <c r="I170" t="s">
        <v>145</v>
      </c>
      <c r="J170" t="s">
        <v>14</v>
      </c>
      <c r="K170" t="s">
        <v>35</v>
      </c>
      <c r="L170" t="s">
        <v>10</v>
      </c>
      <c r="M170" t="s">
        <v>130</v>
      </c>
      <c r="N170" t="s">
        <v>130</v>
      </c>
      <c r="O170" t="s">
        <v>130</v>
      </c>
      <c r="P170" t="s">
        <v>129</v>
      </c>
      <c r="Q170">
        <v>5</v>
      </c>
      <c r="R170">
        <v>76037</v>
      </c>
    </row>
    <row r="171" spans="1:18" x14ac:dyDescent="0.25">
      <c r="A171">
        <v>60000170</v>
      </c>
      <c r="B171">
        <v>26</v>
      </c>
      <c r="C171" t="s">
        <v>85</v>
      </c>
      <c r="D171" t="s">
        <v>88</v>
      </c>
      <c r="E171" t="s">
        <v>99</v>
      </c>
      <c r="F171" t="s">
        <v>102</v>
      </c>
      <c r="G171">
        <v>17</v>
      </c>
      <c r="H171" t="s">
        <v>132</v>
      </c>
      <c r="I171" t="s">
        <v>141</v>
      </c>
      <c r="J171" t="s">
        <v>53</v>
      </c>
      <c r="K171" t="s">
        <v>71</v>
      </c>
      <c r="L171" t="s">
        <v>10</v>
      </c>
      <c r="M171" t="s">
        <v>130</v>
      </c>
      <c r="N171" t="s">
        <v>130</v>
      </c>
      <c r="O171" t="s">
        <v>130</v>
      </c>
      <c r="P171" t="s">
        <v>130</v>
      </c>
      <c r="Q171">
        <v>0</v>
      </c>
      <c r="R171">
        <v>56856</v>
      </c>
    </row>
    <row r="172" spans="1:18" x14ac:dyDescent="0.25">
      <c r="A172">
        <v>60000171</v>
      </c>
      <c r="B172">
        <v>32</v>
      </c>
      <c r="C172" t="s">
        <v>85</v>
      </c>
      <c r="D172" t="s">
        <v>87</v>
      </c>
      <c r="E172" t="s">
        <v>96</v>
      </c>
      <c r="F172" t="s">
        <v>102</v>
      </c>
      <c r="G172">
        <v>33</v>
      </c>
      <c r="H172" t="s">
        <v>111</v>
      </c>
      <c r="I172" t="s">
        <v>146</v>
      </c>
      <c r="J172" t="s">
        <v>21</v>
      </c>
      <c r="K172" t="s">
        <v>39</v>
      </c>
      <c r="L172" t="s">
        <v>10</v>
      </c>
      <c r="M172" t="s">
        <v>130</v>
      </c>
      <c r="N172" t="s">
        <v>130</v>
      </c>
      <c r="O172" t="s">
        <v>130</v>
      </c>
      <c r="P172" t="s">
        <v>130</v>
      </c>
      <c r="Q172">
        <v>0</v>
      </c>
      <c r="R172">
        <v>60704</v>
      </c>
    </row>
    <row r="173" spans="1:18" x14ac:dyDescent="0.25">
      <c r="A173">
        <v>60000172</v>
      </c>
      <c r="B173">
        <v>55</v>
      </c>
      <c r="C173" t="s">
        <v>86</v>
      </c>
      <c r="D173" t="s">
        <v>87</v>
      </c>
      <c r="E173" t="s">
        <v>97</v>
      </c>
      <c r="F173" t="s">
        <v>102</v>
      </c>
      <c r="G173">
        <v>25</v>
      </c>
      <c r="H173" t="s">
        <v>110</v>
      </c>
      <c r="I173" t="s">
        <v>22</v>
      </c>
      <c r="J173" t="s">
        <v>32</v>
      </c>
      <c r="K173" t="s">
        <v>19</v>
      </c>
      <c r="L173" t="s">
        <v>10</v>
      </c>
      <c r="M173" t="s">
        <v>130</v>
      </c>
      <c r="N173" t="s">
        <v>130</v>
      </c>
      <c r="O173" t="s">
        <v>130</v>
      </c>
      <c r="P173" t="s">
        <v>130</v>
      </c>
      <c r="Q173">
        <v>0</v>
      </c>
      <c r="R173">
        <v>50080</v>
      </c>
    </row>
    <row r="174" spans="1:18" x14ac:dyDescent="0.25">
      <c r="A174">
        <v>60000173</v>
      </c>
      <c r="B174">
        <v>50</v>
      </c>
      <c r="C174" t="s">
        <v>86</v>
      </c>
      <c r="D174" t="s">
        <v>87</v>
      </c>
      <c r="E174" t="s">
        <v>90</v>
      </c>
      <c r="F174" t="s">
        <v>102</v>
      </c>
      <c r="G174">
        <v>21</v>
      </c>
      <c r="H174" t="s">
        <v>109</v>
      </c>
      <c r="I174" t="s">
        <v>148</v>
      </c>
      <c r="J174" t="s">
        <v>16</v>
      </c>
      <c r="K174" t="s">
        <v>27</v>
      </c>
      <c r="L174" t="s">
        <v>10</v>
      </c>
      <c r="M174" t="s">
        <v>130</v>
      </c>
      <c r="N174" t="s">
        <v>130</v>
      </c>
      <c r="O174" t="s">
        <v>130</v>
      </c>
      <c r="P174" t="s">
        <v>130</v>
      </c>
      <c r="Q174">
        <v>0</v>
      </c>
      <c r="R174">
        <v>26389</v>
      </c>
    </row>
    <row r="175" spans="1:18" x14ac:dyDescent="0.25">
      <c r="A175">
        <v>60000174</v>
      </c>
      <c r="B175">
        <v>23</v>
      </c>
      <c r="C175" t="s">
        <v>86</v>
      </c>
      <c r="D175" t="s">
        <v>87</v>
      </c>
      <c r="E175" t="s">
        <v>97</v>
      </c>
      <c r="F175" t="s">
        <v>102</v>
      </c>
      <c r="G175">
        <v>25</v>
      </c>
      <c r="H175" t="s">
        <v>110</v>
      </c>
      <c r="I175" t="s">
        <v>150</v>
      </c>
      <c r="J175" t="s">
        <v>53</v>
      </c>
      <c r="K175" t="s">
        <v>31</v>
      </c>
      <c r="L175" t="s">
        <v>10</v>
      </c>
      <c r="M175" t="s">
        <v>130</v>
      </c>
      <c r="N175" t="s">
        <v>130</v>
      </c>
      <c r="O175" t="s">
        <v>130</v>
      </c>
      <c r="P175" t="s">
        <v>130</v>
      </c>
      <c r="Q175">
        <v>0</v>
      </c>
      <c r="R175">
        <v>29057</v>
      </c>
    </row>
    <row r="176" spans="1:18" x14ac:dyDescent="0.25">
      <c r="A176">
        <v>60000175</v>
      </c>
      <c r="B176">
        <v>45</v>
      </c>
      <c r="C176" t="s">
        <v>86</v>
      </c>
      <c r="D176" t="s">
        <v>88</v>
      </c>
      <c r="E176" t="s">
        <v>93</v>
      </c>
      <c r="F176" t="s">
        <v>102</v>
      </c>
      <c r="G176">
        <v>14</v>
      </c>
      <c r="H176" t="s">
        <v>132</v>
      </c>
      <c r="I176" t="s">
        <v>139</v>
      </c>
      <c r="J176" t="s">
        <v>16</v>
      </c>
      <c r="K176" t="s">
        <v>33</v>
      </c>
      <c r="L176" t="s">
        <v>10</v>
      </c>
      <c r="M176" t="s">
        <v>130</v>
      </c>
      <c r="N176" t="s">
        <v>130</v>
      </c>
      <c r="O176" t="s">
        <v>130</v>
      </c>
      <c r="P176" t="s">
        <v>129</v>
      </c>
      <c r="Q176">
        <v>6</v>
      </c>
      <c r="R176">
        <v>33747</v>
      </c>
    </row>
    <row r="177" spans="1:18" x14ac:dyDescent="0.25">
      <c r="A177">
        <v>60000176</v>
      </c>
      <c r="B177">
        <v>32</v>
      </c>
      <c r="C177" t="s">
        <v>86</v>
      </c>
      <c r="D177" t="s">
        <v>88</v>
      </c>
      <c r="E177" t="s">
        <v>92</v>
      </c>
      <c r="F177" t="s">
        <v>102</v>
      </c>
      <c r="G177">
        <v>27</v>
      </c>
      <c r="H177" t="s">
        <v>110</v>
      </c>
      <c r="I177" t="s">
        <v>55</v>
      </c>
      <c r="J177" t="s">
        <v>47</v>
      </c>
      <c r="K177" t="s">
        <v>42</v>
      </c>
      <c r="L177" t="s">
        <v>10</v>
      </c>
      <c r="M177" t="s">
        <v>130</v>
      </c>
      <c r="N177" t="s">
        <v>130</v>
      </c>
      <c r="O177" t="s">
        <v>130</v>
      </c>
      <c r="P177" t="s">
        <v>129</v>
      </c>
      <c r="Q177">
        <v>2</v>
      </c>
      <c r="R177">
        <v>39675</v>
      </c>
    </row>
    <row r="178" spans="1:18" x14ac:dyDescent="0.25">
      <c r="A178">
        <v>60000177</v>
      </c>
      <c r="B178">
        <v>49</v>
      </c>
      <c r="C178" t="s">
        <v>85</v>
      </c>
      <c r="D178" t="s">
        <v>87</v>
      </c>
      <c r="E178" t="s">
        <v>99</v>
      </c>
      <c r="F178" t="s">
        <v>102</v>
      </c>
      <c r="G178">
        <v>34</v>
      </c>
      <c r="H178" t="s">
        <v>111</v>
      </c>
      <c r="I178" t="s">
        <v>148</v>
      </c>
      <c r="J178" t="s">
        <v>14</v>
      </c>
      <c r="K178" t="s">
        <v>72</v>
      </c>
      <c r="L178" t="s">
        <v>10</v>
      </c>
      <c r="M178" t="s">
        <v>130</v>
      </c>
      <c r="N178" t="s">
        <v>130</v>
      </c>
      <c r="O178" t="s">
        <v>130</v>
      </c>
      <c r="P178" t="s">
        <v>129</v>
      </c>
      <c r="Q178">
        <v>3</v>
      </c>
      <c r="R178">
        <v>32052</v>
      </c>
    </row>
    <row r="179" spans="1:18" x14ac:dyDescent="0.25">
      <c r="A179">
        <v>60000178</v>
      </c>
      <c r="B179">
        <v>49</v>
      </c>
      <c r="C179" t="s">
        <v>86</v>
      </c>
      <c r="D179" t="s">
        <v>88</v>
      </c>
      <c r="E179" t="s">
        <v>95</v>
      </c>
      <c r="F179" t="s">
        <v>102</v>
      </c>
      <c r="G179">
        <v>31</v>
      </c>
      <c r="H179" t="s">
        <v>110</v>
      </c>
      <c r="I179" t="s">
        <v>150</v>
      </c>
      <c r="J179" t="s">
        <v>21</v>
      </c>
      <c r="K179" t="s">
        <v>61</v>
      </c>
      <c r="L179" t="s">
        <v>10</v>
      </c>
      <c r="M179" t="s">
        <v>130</v>
      </c>
      <c r="N179" t="s">
        <v>130</v>
      </c>
      <c r="O179" t="s">
        <v>130</v>
      </c>
      <c r="P179" t="s">
        <v>129</v>
      </c>
      <c r="Q179">
        <v>6</v>
      </c>
      <c r="R179">
        <v>84649</v>
      </c>
    </row>
    <row r="180" spans="1:18" x14ac:dyDescent="0.25">
      <c r="A180">
        <v>60000179</v>
      </c>
      <c r="B180">
        <v>32</v>
      </c>
      <c r="C180" t="s">
        <v>85</v>
      </c>
      <c r="D180" t="s">
        <v>88</v>
      </c>
      <c r="E180" t="s">
        <v>94</v>
      </c>
      <c r="F180" t="s">
        <v>102</v>
      </c>
      <c r="G180">
        <v>27</v>
      </c>
      <c r="H180" t="s">
        <v>110</v>
      </c>
      <c r="I180" t="s">
        <v>144</v>
      </c>
      <c r="J180" t="s">
        <v>23</v>
      </c>
      <c r="K180" t="s">
        <v>11</v>
      </c>
      <c r="L180" t="s">
        <v>10</v>
      </c>
      <c r="M180" t="s">
        <v>130</v>
      </c>
      <c r="N180" t="s">
        <v>130</v>
      </c>
      <c r="O180" t="s">
        <v>130</v>
      </c>
      <c r="P180" t="s">
        <v>130</v>
      </c>
      <c r="Q180">
        <v>0</v>
      </c>
      <c r="R180">
        <v>54095</v>
      </c>
    </row>
    <row r="181" spans="1:18" x14ac:dyDescent="0.25">
      <c r="A181">
        <v>60000180</v>
      </c>
      <c r="B181">
        <v>33</v>
      </c>
      <c r="C181" t="s">
        <v>85</v>
      </c>
      <c r="D181" t="s">
        <v>88</v>
      </c>
      <c r="E181" t="s">
        <v>94</v>
      </c>
      <c r="F181" t="s">
        <v>102</v>
      </c>
      <c r="G181">
        <v>33</v>
      </c>
      <c r="H181" t="s">
        <v>111</v>
      </c>
      <c r="I181" t="s">
        <v>150</v>
      </c>
      <c r="J181" t="s">
        <v>53</v>
      </c>
      <c r="K181" t="s">
        <v>64</v>
      </c>
      <c r="L181" t="s">
        <v>10</v>
      </c>
      <c r="M181" t="s">
        <v>130</v>
      </c>
      <c r="N181" t="s">
        <v>130</v>
      </c>
      <c r="O181" t="s">
        <v>130</v>
      </c>
      <c r="P181" t="s">
        <v>129</v>
      </c>
      <c r="Q181">
        <v>1</v>
      </c>
      <c r="R181">
        <v>77038</v>
      </c>
    </row>
    <row r="182" spans="1:18" x14ac:dyDescent="0.25">
      <c r="A182">
        <v>60000181</v>
      </c>
      <c r="B182">
        <v>59</v>
      </c>
      <c r="C182" t="s">
        <v>86</v>
      </c>
      <c r="D182" t="s">
        <v>87</v>
      </c>
      <c r="E182" t="s">
        <v>100</v>
      </c>
      <c r="F182" t="s">
        <v>102</v>
      </c>
      <c r="G182">
        <v>12</v>
      </c>
      <c r="H182" t="s">
        <v>132</v>
      </c>
      <c r="I182" t="s">
        <v>150</v>
      </c>
      <c r="J182" t="s">
        <v>32</v>
      </c>
      <c r="K182" t="s">
        <v>56</v>
      </c>
      <c r="L182" t="s">
        <v>10</v>
      </c>
      <c r="M182" t="s">
        <v>130</v>
      </c>
      <c r="N182" t="s">
        <v>130</v>
      </c>
      <c r="O182" t="s">
        <v>130</v>
      </c>
      <c r="P182" t="s">
        <v>130</v>
      </c>
      <c r="Q182">
        <v>0</v>
      </c>
      <c r="R182">
        <v>51058</v>
      </c>
    </row>
    <row r="183" spans="1:18" x14ac:dyDescent="0.25">
      <c r="A183">
        <v>60000182</v>
      </c>
      <c r="B183">
        <v>57</v>
      </c>
      <c r="C183" t="s">
        <v>85</v>
      </c>
      <c r="D183" t="s">
        <v>88</v>
      </c>
      <c r="E183" t="s">
        <v>94</v>
      </c>
      <c r="F183" t="s">
        <v>102</v>
      </c>
      <c r="G183">
        <v>11</v>
      </c>
      <c r="H183" t="s">
        <v>108</v>
      </c>
      <c r="I183" t="s">
        <v>50</v>
      </c>
      <c r="J183" t="s">
        <v>32</v>
      </c>
      <c r="K183" t="s">
        <v>64</v>
      </c>
      <c r="L183" t="s">
        <v>10</v>
      </c>
      <c r="M183" t="s">
        <v>130</v>
      </c>
      <c r="N183" t="s">
        <v>130</v>
      </c>
      <c r="O183" t="s">
        <v>130</v>
      </c>
      <c r="P183" t="s">
        <v>130</v>
      </c>
      <c r="Q183">
        <v>0</v>
      </c>
      <c r="R183">
        <v>84183</v>
      </c>
    </row>
    <row r="184" spans="1:18" x14ac:dyDescent="0.25">
      <c r="A184">
        <v>60000183</v>
      </c>
      <c r="B184">
        <v>61</v>
      </c>
      <c r="C184" t="s">
        <v>85</v>
      </c>
      <c r="D184" t="s">
        <v>87</v>
      </c>
      <c r="E184" t="s">
        <v>97</v>
      </c>
      <c r="F184" t="s">
        <v>102</v>
      </c>
      <c r="G184">
        <v>33</v>
      </c>
      <c r="H184" t="s">
        <v>111</v>
      </c>
      <c r="I184" t="s">
        <v>22</v>
      </c>
      <c r="J184" t="s">
        <v>23</v>
      </c>
      <c r="K184" t="s">
        <v>56</v>
      </c>
      <c r="L184" t="s">
        <v>10</v>
      </c>
      <c r="M184" t="s">
        <v>130</v>
      </c>
      <c r="N184" t="s">
        <v>130</v>
      </c>
      <c r="O184" t="s">
        <v>130</v>
      </c>
      <c r="P184" t="s">
        <v>130</v>
      </c>
      <c r="Q184">
        <v>0</v>
      </c>
      <c r="R184">
        <v>48307</v>
      </c>
    </row>
    <row r="185" spans="1:18" x14ac:dyDescent="0.25">
      <c r="A185">
        <v>60000184</v>
      </c>
      <c r="B185">
        <v>41</v>
      </c>
      <c r="C185" t="s">
        <v>86</v>
      </c>
      <c r="D185" t="s">
        <v>87</v>
      </c>
      <c r="E185" t="s">
        <v>92</v>
      </c>
      <c r="F185" t="s">
        <v>102</v>
      </c>
      <c r="G185">
        <v>25</v>
      </c>
      <c r="H185" t="s">
        <v>110</v>
      </c>
      <c r="I185" t="s">
        <v>145</v>
      </c>
      <c r="J185" t="s">
        <v>25</v>
      </c>
      <c r="K185" t="s">
        <v>22</v>
      </c>
      <c r="L185" t="s">
        <v>10</v>
      </c>
      <c r="M185" t="s">
        <v>130</v>
      </c>
      <c r="N185" t="s">
        <v>130</v>
      </c>
      <c r="O185" t="s">
        <v>130</v>
      </c>
      <c r="P185" t="s">
        <v>129</v>
      </c>
      <c r="Q185">
        <v>1</v>
      </c>
      <c r="R185">
        <v>26567</v>
      </c>
    </row>
    <row r="186" spans="1:18" x14ac:dyDescent="0.25">
      <c r="A186">
        <v>60000185</v>
      </c>
      <c r="B186">
        <v>46</v>
      </c>
      <c r="C186" t="s">
        <v>86</v>
      </c>
      <c r="D186" t="s">
        <v>88</v>
      </c>
      <c r="E186" t="s">
        <v>90</v>
      </c>
      <c r="F186" t="s">
        <v>102</v>
      </c>
      <c r="G186">
        <v>37</v>
      </c>
      <c r="H186" t="s">
        <v>111</v>
      </c>
      <c r="I186" t="s">
        <v>145</v>
      </c>
      <c r="J186" t="s">
        <v>23</v>
      </c>
      <c r="K186" t="s">
        <v>51</v>
      </c>
      <c r="L186" t="s">
        <v>10</v>
      </c>
      <c r="M186" t="s">
        <v>130</v>
      </c>
      <c r="N186" t="s">
        <v>130</v>
      </c>
      <c r="O186" t="s">
        <v>130</v>
      </c>
      <c r="P186" t="s">
        <v>129</v>
      </c>
      <c r="Q186">
        <v>0</v>
      </c>
      <c r="R186">
        <v>60974</v>
      </c>
    </row>
    <row r="187" spans="1:18" x14ac:dyDescent="0.25">
      <c r="A187">
        <v>60000186</v>
      </c>
      <c r="B187">
        <v>43</v>
      </c>
      <c r="C187" t="s">
        <v>86</v>
      </c>
      <c r="D187" t="s">
        <v>87</v>
      </c>
      <c r="E187" t="s">
        <v>93</v>
      </c>
      <c r="F187" t="s">
        <v>102</v>
      </c>
      <c r="G187">
        <v>16</v>
      </c>
      <c r="H187" t="s">
        <v>132</v>
      </c>
      <c r="I187" t="s">
        <v>144</v>
      </c>
      <c r="J187" t="s">
        <v>25</v>
      </c>
      <c r="K187" t="s">
        <v>67</v>
      </c>
      <c r="L187" t="s">
        <v>10</v>
      </c>
      <c r="M187" t="s">
        <v>130</v>
      </c>
      <c r="N187" t="s">
        <v>130</v>
      </c>
      <c r="O187" t="s">
        <v>130</v>
      </c>
      <c r="P187" t="s">
        <v>129</v>
      </c>
      <c r="Q187">
        <v>2</v>
      </c>
      <c r="R187">
        <v>42439</v>
      </c>
    </row>
    <row r="188" spans="1:18" x14ac:dyDescent="0.25">
      <c r="A188">
        <v>60000187</v>
      </c>
      <c r="B188">
        <v>23</v>
      </c>
      <c r="C188" t="s">
        <v>86</v>
      </c>
      <c r="D188" t="s">
        <v>87</v>
      </c>
      <c r="E188" t="s">
        <v>95</v>
      </c>
      <c r="F188" t="s">
        <v>102</v>
      </c>
      <c r="G188">
        <v>38</v>
      </c>
      <c r="H188" t="s">
        <v>111</v>
      </c>
      <c r="I188" t="s">
        <v>149</v>
      </c>
      <c r="J188" t="s">
        <v>14</v>
      </c>
      <c r="K188" t="s">
        <v>26</v>
      </c>
      <c r="L188" t="s">
        <v>10</v>
      </c>
      <c r="M188" t="s">
        <v>130</v>
      </c>
      <c r="N188" t="s">
        <v>130</v>
      </c>
      <c r="O188" t="s">
        <v>130</v>
      </c>
      <c r="P188" t="s">
        <v>130</v>
      </c>
      <c r="Q188">
        <v>0</v>
      </c>
      <c r="R188">
        <v>55285</v>
      </c>
    </row>
    <row r="189" spans="1:18" x14ac:dyDescent="0.25">
      <c r="A189">
        <v>60000188</v>
      </c>
      <c r="B189">
        <v>31</v>
      </c>
      <c r="C189" t="s">
        <v>86</v>
      </c>
      <c r="D189" t="s">
        <v>88</v>
      </c>
      <c r="E189" t="s">
        <v>95</v>
      </c>
      <c r="F189" t="s">
        <v>102</v>
      </c>
      <c r="G189">
        <v>17</v>
      </c>
      <c r="H189" t="s">
        <v>132</v>
      </c>
      <c r="I189" t="s">
        <v>55</v>
      </c>
      <c r="J189" t="s">
        <v>25</v>
      </c>
      <c r="K189" t="s">
        <v>66</v>
      </c>
      <c r="L189" t="s">
        <v>10</v>
      </c>
      <c r="M189" t="s">
        <v>130</v>
      </c>
      <c r="N189" t="s">
        <v>130</v>
      </c>
      <c r="O189" t="s">
        <v>130</v>
      </c>
      <c r="P189" t="s">
        <v>129</v>
      </c>
      <c r="Q189">
        <v>4</v>
      </c>
      <c r="R189">
        <v>53544</v>
      </c>
    </row>
    <row r="190" spans="1:18" x14ac:dyDescent="0.25">
      <c r="A190">
        <v>60000189</v>
      </c>
      <c r="B190">
        <v>20</v>
      </c>
      <c r="C190" t="s">
        <v>86</v>
      </c>
      <c r="D190" t="s">
        <v>87</v>
      </c>
      <c r="E190" t="s">
        <v>100</v>
      </c>
      <c r="F190" t="s">
        <v>102</v>
      </c>
      <c r="G190">
        <v>26</v>
      </c>
      <c r="H190" t="s">
        <v>110</v>
      </c>
      <c r="I190" t="s">
        <v>11</v>
      </c>
      <c r="J190" t="s">
        <v>53</v>
      </c>
      <c r="K190" t="s">
        <v>70</v>
      </c>
      <c r="L190" t="s">
        <v>10</v>
      </c>
      <c r="M190" t="s">
        <v>130</v>
      </c>
      <c r="N190" t="s">
        <v>130</v>
      </c>
      <c r="O190" t="s">
        <v>130</v>
      </c>
      <c r="P190" t="s">
        <v>129</v>
      </c>
      <c r="Q190">
        <v>7</v>
      </c>
      <c r="R190">
        <v>73705</v>
      </c>
    </row>
    <row r="191" spans="1:18" x14ac:dyDescent="0.25">
      <c r="A191">
        <v>60000190</v>
      </c>
      <c r="B191">
        <v>64</v>
      </c>
      <c r="C191" t="s">
        <v>85</v>
      </c>
      <c r="D191" t="s">
        <v>88</v>
      </c>
      <c r="E191" t="s">
        <v>96</v>
      </c>
      <c r="F191" t="s">
        <v>102</v>
      </c>
      <c r="G191">
        <v>19</v>
      </c>
      <c r="H191" t="s">
        <v>109</v>
      </c>
      <c r="I191" t="s">
        <v>143</v>
      </c>
      <c r="J191" t="s">
        <v>32</v>
      </c>
      <c r="K191" t="s">
        <v>43</v>
      </c>
      <c r="L191" t="s">
        <v>10</v>
      </c>
      <c r="M191" t="s">
        <v>130</v>
      </c>
      <c r="N191" t="s">
        <v>130</v>
      </c>
      <c r="O191" t="s">
        <v>130</v>
      </c>
      <c r="P191" t="s">
        <v>130</v>
      </c>
      <c r="Q191">
        <v>0</v>
      </c>
      <c r="R191">
        <v>45558</v>
      </c>
    </row>
    <row r="192" spans="1:18" x14ac:dyDescent="0.25">
      <c r="A192">
        <v>60000191</v>
      </c>
      <c r="B192">
        <v>26</v>
      </c>
      <c r="C192" t="s">
        <v>86</v>
      </c>
      <c r="D192" t="s">
        <v>87</v>
      </c>
      <c r="E192" t="s">
        <v>96</v>
      </c>
      <c r="F192" t="s">
        <v>102</v>
      </c>
      <c r="G192">
        <v>22</v>
      </c>
      <c r="H192" t="s">
        <v>109</v>
      </c>
      <c r="I192" t="s">
        <v>145</v>
      </c>
      <c r="J192" t="s">
        <v>16</v>
      </c>
      <c r="K192" t="s">
        <v>66</v>
      </c>
      <c r="L192" t="s">
        <v>10</v>
      </c>
      <c r="M192" t="s">
        <v>130</v>
      </c>
      <c r="N192" t="s">
        <v>130</v>
      </c>
      <c r="O192" t="s">
        <v>130</v>
      </c>
      <c r="P192" t="s">
        <v>130</v>
      </c>
      <c r="Q192">
        <v>0</v>
      </c>
      <c r="R192">
        <v>52826</v>
      </c>
    </row>
    <row r="193" spans="1:18" x14ac:dyDescent="0.25">
      <c r="A193">
        <v>60000192</v>
      </c>
      <c r="B193">
        <v>46</v>
      </c>
      <c r="C193" t="s">
        <v>85</v>
      </c>
      <c r="D193" t="s">
        <v>87</v>
      </c>
      <c r="E193" t="s">
        <v>98</v>
      </c>
      <c r="F193" t="s">
        <v>102</v>
      </c>
      <c r="G193">
        <v>23</v>
      </c>
      <c r="H193" t="s">
        <v>109</v>
      </c>
      <c r="I193" t="s">
        <v>147</v>
      </c>
      <c r="J193" t="s">
        <v>16</v>
      </c>
      <c r="K193" t="s">
        <v>68</v>
      </c>
      <c r="L193" t="s">
        <v>10</v>
      </c>
      <c r="M193" t="s">
        <v>130</v>
      </c>
      <c r="N193" t="s">
        <v>130</v>
      </c>
      <c r="O193" t="s">
        <v>130</v>
      </c>
      <c r="P193" t="s">
        <v>129</v>
      </c>
      <c r="Q193">
        <v>1</v>
      </c>
      <c r="R193">
        <v>82293</v>
      </c>
    </row>
    <row r="194" spans="1:18" x14ac:dyDescent="0.25">
      <c r="A194">
        <v>60000193</v>
      </c>
      <c r="B194">
        <v>45</v>
      </c>
      <c r="C194" t="s">
        <v>86</v>
      </c>
      <c r="D194" t="s">
        <v>88</v>
      </c>
      <c r="E194" t="s">
        <v>97</v>
      </c>
      <c r="F194" t="s">
        <v>102</v>
      </c>
      <c r="G194">
        <v>21</v>
      </c>
      <c r="H194" t="s">
        <v>109</v>
      </c>
      <c r="I194" t="s">
        <v>140</v>
      </c>
      <c r="J194" t="s">
        <v>32</v>
      </c>
      <c r="K194" t="s">
        <v>35</v>
      </c>
      <c r="L194" t="s">
        <v>10</v>
      </c>
      <c r="M194" t="s">
        <v>130</v>
      </c>
      <c r="N194" t="s">
        <v>130</v>
      </c>
      <c r="O194" t="s">
        <v>130</v>
      </c>
      <c r="P194" t="s">
        <v>130</v>
      </c>
      <c r="Q194">
        <v>0</v>
      </c>
      <c r="R194">
        <v>40443</v>
      </c>
    </row>
    <row r="195" spans="1:18" x14ac:dyDescent="0.25">
      <c r="A195">
        <v>60000194</v>
      </c>
      <c r="B195">
        <v>45</v>
      </c>
      <c r="C195" t="s">
        <v>85</v>
      </c>
      <c r="D195" t="s">
        <v>87</v>
      </c>
      <c r="E195" t="s">
        <v>97</v>
      </c>
      <c r="F195" t="s">
        <v>102</v>
      </c>
      <c r="G195">
        <v>18</v>
      </c>
      <c r="H195" t="s">
        <v>132</v>
      </c>
      <c r="I195" t="s">
        <v>150</v>
      </c>
      <c r="J195" t="s">
        <v>21</v>
      </c>
      <c r="K195" t="s">
        <v>70</v>
      </c>
      <c r="L195" t="s">
        <v>10</v>
      </c>
      <c r="M195" t="s">
        <v>130</v>
      </c>
      <c r="N195" t="s">
        <v>130</v>
      </c>
      <c r="O195" t="s">
        <v>130</v>
      </c>
      <c r="P195" t="s">
        <v>130</v>
      </c>
      <c r="Q195">
        <v>0</v>
      </c>
      <c r="R195">
        <v>43835</v>
      </c>
    </row>
    <row r="196" spans="1:18" x14ac:dyDescent="0.25">
      <c r="A196">
        <v>60000195</v>
      </c>
      <c r="B196">
        <v>56</v>
      </c>
      <c r="C196" t="s">
        <v>86</v>
      </c>
      <c r="D196" t="s">
        <v>87</v>
      </c>
      <c r="E196" t="s">
        <v>97</v>
      </c>
      <c r="F196" t="s">
        <v>102</v>
      </c>
      <c r="G196">
        <v>30</v>
      </c>
      <c r="H196" t="s">
        <v>110</v>
      </c>
      <c r="I196" t="s">
        <v>50</v>
      </c>
      <c r="J196" t="s">
        <v>16</v>
      </c>
      <c r="K196" t="s">
        <v>66</v>
      </c>
      <c r="L196" t="s">
        <v>10</v>
      </c>
      <c r="M196" t="s">
        <v>130</v>
      </c>
      <c r="N196" t="s">
        <v>130</v>
      </c>
      <c r="O196" t="s">
        <v>130</v>
      </c>
      <c r="P196" t="s">
        <v>129</v>
      </c>
      <c r="Q196">
        <v>3</v>
      </c>
      <c r="R196">
        <v>49676</v>
      </c>
    </row>
    <row r="197" spans="1:18" x14ac:dyDescent="0.25">
      <c r="A197">
        <v>60000196</v>
      </c>
      <c r="B197">
        <v>25</v>
      </c>
      <c r="C197" t="s">
        <v>86</v>
      </c>
      <c r="D197" t="s">
        <v>87</v>
      </c>
      <c r="E197" t="s">
        <v>99</v>
      </c>
      <c r="F197" t="s">
        <v>102</v>
      </c>
      <c r="G197">
        <v>16</v>
      </c>
      <c r="H197" t="s">
        <v>132</v>
      </c>
      <c r="I197" t="s">
        <v>22</v>
      </c>
      <c r="J197" t="s">
        <v>9</v>
      </c>
      <c r="K197" t="s">
        <v>15</v>
      </c>
      <c r="L197" t="s">
        <v>10</v>
      </c>
      <c r="M197" t="s">
        <v>130</v>
      </c>
      <c r="N197" t="s">
        <v>130</v>
      </c>
      <c r="O197" t="s">
        <v>130</v>
      </c>
      <c r="P197" t="s">
        <v>130</v>
      </c>
      <c r="Q197">
        <v>0</v>
      </c>
      <c r="R197">
        <v>58756</v>
      </c>
    </row>
    <row r="198" spans="1:18" x14ac:dyDescent="0.25">
      <c r="A198">
        <v>60000197</v>
      </c>
      <c r="B198">
        <v>50</v>
      </c>
      <c r="C198" t="s">
        <v>86</v>
      </c>
      <c r="D198" t="s">
        <v>87</v>
      </c>
      <c r="E198" t="s">
        <v>100</v>
      </c>
      <c r="F198" t="s">
        <v>102</v>
      </c>
      <c r="G198">
        <v>22</v>
      </c>
      <c r="H198" t="s">
        <v>109</v>
      </c>
      <c r="I198" t="s">
        <v>144</v>
      </c>
      <c r="J198" t="s">
        <v>32</v>
      </c>
      <c r="K198" t="s">
        <v>40</v>
      </c>
      <c r="L198" t="s">
        <v>10</v>
      </c>
      <c r="M198" t="s">
        <v>130</v>
      </c>
      <c r="N198" t="s">
        <v>130</v>
      </c>
      <c r="O198" t="s">
        <v>130</v>
      </c>
      <c r="P198" t="s">
        <v>130</v>
      </c>
      <c r="Q198">
        <v>0</v>
      </c>
      <c r="R198">
        <v>44749</v>
      </c>
    </row>
    <row r="199" spans="1:18" x14ac:dyDescent="0.25">
      <c r="A199">
        <v>60000198</v>
      </c>
      <c r="B199">
        <v>21</v>
      </c>
      <c r="C199" t="s">
        <v>85</v>
      </c>
      <c r="D199" t="s">
        <v>87</v>
      </c>
      <c r="E199" t="s">
        <v>92</v>
      </c>
      <c r="F199" t="s">
        <v>102</v>
      </c>
      <c r="G199">
        <v>30</v>
      </c>
      <c r="H199" t="s">
        <v>110</v>
      </c>
      <c r="I199" t="s">
        <v>55</v>
      </c>
      <c r="J199" t="s">
        <v>62</v>
      </c>
      <c r="K199" t="s">
        <v>73</v>
      </c>
      <c r="L199" t="s">
        <v>10</v>
      </c>
      <c r="M199" t="s">
        <v>130</v>
      </c>
      <c r="N199" t="s">
        <v>130</v>
      </c>
      <c r="O199" t="s">
        <v>130</v>
      </c>
      <c r="P199" t="s">
        <v>129</v>
      </c>
      <c r="Q199">
        <v>0</v>
      </c>
      <c r="R199">
        <v>51884</v>
      </c>
    </row>
    <row r="200" spans="1:18" x14ac:dyDescent="0.25">
      <c r="A200">
        <v>60000199</v>
      </c>
      <c r="B200">
        <v>64</v>
      </c>
      <c r="C200" t="s">
        <v>85</v>
      </c>
      <c r="D200" t="s">
        <v>87</v>
      </c>
      <c r="E200" t="s">
        <v>99</v>
      </c>
      <c r="F200" t="s">
        <v>102</v>
      </c>
      <c r="G200">
        <v>33</v>
      </c>
      <c r="H200" t="s">
        <v>111</v>
      </c>
      <c r="I200" t="s">
        <v>142</v>
      </c>
      <c r="J200" t="s">
        <v>12</v>
      </c>
      <c r="K200" t="s">
        <v>58</v>
      </c>
      <c r="L200" t="s">
        <v>10</v>
      </c>
      <c r="M200" t="s">
        <v>130</v>
      </c>
      <c r="N200" t="s">
        <v>130</v>
      </c>
      <c r="O200" t="s">
        <v>130</v>
      </c>
      <c r="P200" t="s">
        <v>130</v>
      </c>
      <c r="Q200">
        <v>0</v>
      </c>
      <c r="R200">
        <v>50267</v>
      </c>
    </row>
    <row r="201" spans="1:18" x14ac:dyDescent="0.25">
      <c r="A201">
        <v>60000200</v>
      </c>
      <c r="B201">
        <v>35</v>
      </c>
      <c r="C201" t="s">
        <v>86</v>
      </c>
      <c r="D201" t="s">
        <v>88</v>
      </c>
      <c r="E201" t="s">
        <v>90</v>
      </c>
      <c r="F201" t="s">
        <v>102</v>
      </c>
      <c r="G201">
        <v>25</v>
      </c>
      <c r="H201" t="s">
        <v>110</v>
      </c>
      <c r="I201" t="s">
        <v>139</v>
      </c>
      <c r="J201" t="s">
        <v>16</v>
      </c>
      <c r="K201" t="s">
        <v>51</v>
      </c>
      <c r="L201" t="s">
        <v>10</v>
      </c>
      <c r="M201" t="s">
        <v>130</v>
      </c>
      <c r="N201" t="s">
        <v>130</v>
      </c>
      <c r="O201" t="s">
        <v>130</v>
      </c>
      <c r="P201" t="s">
        <v>130</v>
      </c>
      <c r="Q201">
        <v>0</v>
      </c>
      <c r="R201">
        <v>31636</v>
      </c>
    </row>
    <row r="202" spans="1:18" x14ac:dyDescent="0.25">
      <c r="A202">
        <v>60000201</v>
      </c>
      <c r="B202">
        <v>31</v>
      </c>
      <c r="C202" t="s">
        <v>86</v>
      </c>
      <c r="D202" t="s">
        <v>87</v>
      </c>
      <c r="E202" t="s">
        <v>98</v>
      </c>
      <c r="F202" t="s">
        <v>102</v>
      </c>
      <c r="G202">
        <v>25</v>
      </c>
      <c r="H202" t="s">
        <v>110</v>
      </c>
      <c r="I202" t="s">
        <v>140</v>
      </c>
      <c r="J202" t="s">
        <v>47</v>
      </c>
      <c r="K202" t="s">
        <v>67</v>
      </c>
      <c r="L202" t="s">
        <v>10</v>
      </c>
      <c r="M202" t="s">
        <v>130</v>
      </c>
      <c r="N202" t="s">
        <v>130</v>
      </c>
      <c r="O202" t="s">
        <v>130</v>
      </c>
      <c r="P202" t="s">
        <v>129</v>
      </c>
      <c r="Q202">
        <v>3</v>
      </c>
      <c r="R202">
        <v>77924</v>
      </c>
    </row>
    <row r="203" spans="1:18" x14ac:dyDescent="0.25">
      <c r="A203">
        <v>60000202</v>
      </c>
      <c r="B203">
        <v>26</v>
      </c>
      <c r="C203" t="s">
        <v>86</v>
      </c>
      <c r="D203" t="s">
        <v>87</v>
      </c>
      <c r="E203" t="s">
        <v>96</v>
      </c>
      <c r="F203" t="s">
        <v>102</v>
      </c>
      <c r="G203">
        <v>12</v>
      </c>
      <c r="H203" t="s">
        <v>132</v>
      </c>
      <c r="I203" t="s">
        <v>144</v>
      </c>
      <c r="J203" t="s">
        <v>62</v>
      </c>
      <c r="K203" t="s">
        <v>51</v>
      </c>
      <c r="L203" t="s">
        <v>10</v>
      </c>
      <c r="M203" t="s">
        <v>130</v>
      </c>
      <c r="N203" t="s">
        <v>130</v>
      </c>
      <c r="O203" t="s">
        <v>130</v>
      </c>
      <c r="P203" t="s">
        <v>129</v>
      </c>
      <c r="Q203">
        <v>0</v>
      </c>
      <c r="R203">
        <v>35126</v>
      </c>
    </row>
    <row r="204" spans="1:18" x14ac:dyDescent="0.25">
      <c r="A204">
        <v>60000203</v>
      </c>
      <c r="B204">
        <v>61</v>
      </c>
      <c r="C204" t="s">
        <v>86</v>
      </c>
      <c r="D204" t="s">
        <v>87</v>
      </c>
      <c r="E204" t="s">
        <v>97</v>
      </c>
      <c r="F204" t="s">
        <v>102</v>
      </c>
      <c r="G204">
        <v>10</v>
      </c>
      <c r="H204" t="s">
        <v>108</v>
      </c>
      <c r="I204" t="s">
        <v>143</v>
      </c>
      <c r="J204" t="s">
        <v>25</v>
      </c>
      <c r="K204" t="s">
        <v>17</v>
      </c>
      <c r="L204" t="s">
        <v>10</v>
      </c>
      <c r="M204" t="s">
        <v>130</v>
      </c>
      <c r="N204" t="s">
        <v>130</v>
      </c>
      <c r="O204" t="s">
        <v>130</v>
      </c>
      <c r="P204" t="s">
        <v>129</v>
      </c>
      <c r="Q204">
        <v>2</v>
      </c>
      <c r="R204">
        <v>74576</v>
      </c>
    </row>
    <row r="205" spans="1:18" x14ac:dyDescent="0.25">
      <c r="A205">
        <v>60000204</v>
      </c>
      <c r="B205">
        <v>27</v>
      </c>
      <c r="C205" t="s">
        <v>85</v>
      </c>
      <c r="D205" t="s">
        <v>88</v>
      </c>
      <c r="E205" t="s">
        <v>99</v>
      </c>
      <c r="F205" t="s">
        <v>102</v>
      </c>
      <c r="G205">
        <v>31</v>
      </c>
      <c r="H205" t="s">
        <v>110</v>
      </c>
      <c r="I205" t="s">
        <v>150</v>
      </c>
      <c r="J205" t="s">
        <v>53</v>
      </c>
      <c r="K205" t="s">
        <v>45</v>
      </c>
      <c r="L205" t="s">
        <v>10</v>
      </c>
      <c r="M205" t="s">
        <v>130</v>
      </c>
      <c r="N205" t="s">
        <v>130</v>
      </c>
      <c r="O205" t="s">
        <v>130</v>
      </c>
      <c r="P205" t="s">
        <v>130</v>
      </c>
      <c r="Q205">
        <v>0</v>
      </c>
      <c r="R205">
        <v>42426</v>
      </c>
    </row>
    <row r="206" spans="1:18" x14ac:dyDescent="0.25">
      <c r="A206">
        <v>60000205</v>
      </c>
      <c r="B206">
        <v>36</v>
      </c>
      <c r="C206" t="s">
        <v>86</v>
      </c>
      <c r="D206" t="s">
        <v>88</v>
      </c>
      <c r="E206" t="s">
        <v>93</v>
      </c>
      <c r="F206" t="s">
        <v>102</v>
      </c>
      <c r="G206">
        <v>20</v>
      </c>
      <c r="H206" t="s">
        <v>109</v>
      </c>
      <c r="I206" t="s">
        <v>29</v>
      </c>
      <c r="J206" t="s">
        <v>16</v>
      </c>
      <c r="K206" t="s">
        <v>15</v>
      </c>
      <c r="L206" t="s">
        <v>10</v>
      </c>
      <c r="M206" t="s">
        <v>130</v>
      </c>
      <c r="N206" t="s">
        <v>130</v>
      </c>
      <c r="O206" t="s">
        <v>130</v>
      </c>
      <c r="P206" t="s">
        <v>130</v>
      </c>
      <c r="Q206">
        <v>0</v>
      </c>
      <c r="R206">
        <v>41369</v>
      </c>
    </row>
    <row r="207" spans="1:18" x14ac:dyDescent="0.25">
      <c r="A207">
        <v>60000206</v>
      </c>
      <c r="B207">
        <v>41</v>
      </c>
      <c r="C207" t="s">
        <v>85</v>
      </c>
      <c r="D207" t="s">
        <v>87</v>
      </c>
      <c r="E207" t="s">
        <v>97</v>
      </c>
      <c r="F207" t="s">
        <v>102</v>
      </c>
      <c r="G207">
        <v>29</v>
      </c>
      <c r="H207" t="s">
        <v>110</v>
      </c>
      <c r="I207" t="s">
        <v>142</v>
      </c>
      <c r="J207" t="s">
        <v>32</v>
      </c>
      <c r="K207" t="s">
        <v>39</v>
      </c>
      <c r="L207" t="s">
        <v>10</v>
      </c>
      <c r="M207" t="s">
        <v>130</v>
      </c>
      <c r="N207" t="s">
        <v>130</v>
      </c>
      <c r="O207" t="s">
        <v>130</v>
      </c>
      <c r="P207" t="s">
        <v>129</v>
      </c>
      <c r="Q207">
        <v>2</v>
      </c>
      <c r="R207">
        <v>80132</v>
      </c>
    </row>
    <row r="208" spans="1:18" x14ac:dyDescent="0.25">
      <c r="A208">
        <v>60000207</v>
      </c>
      <c r="B208">
        <v>20</v>
      </c>
      <c r="C208" t="s">
        <v>86</v>
      </c>
      <c r="D208" t="s">
        <v>87</v>
      </c>
      <c r="E208" t="s">
        <v>96</v>
      </c>
      <c r="F208" t="s">
        <v>102</v>
      </c>
      <c r="G208">
        <v>17</v>
      </c>
      <c r="H208" t="s">
        <v>132</v>
      </c>
      <c r="I208" t="s">
        <v>141</v>
      </c>
      <c r="J208" t="s">
        <v>47</v>
      </c>
      <c r="K208" t="s">
        <v>31</v>
      </c>
      <c r="L208" t="s">
        <v>10</v>
      </c>
      <c r="M208" t="s">
        <v>130</v>
      </c>
      <c r="N208" t="s">
        <v>130</v>
      </c>
      <c r="O208" t="s">
        <v>130</v>
      </c>
      <c r="P208" t="s">
        <v>130</v>
      </c>
      <c r="Q208">
        <v>0</v>
      </c>
      <c r="R208">
        <v>54339</v>
      </c>
    </row>
    <row r="209" spans="1:18" x14ac:dyDescent="0.25">
      <c r="A209">
        <v>60000208</v>
      </c>
      <c r="B209">
        <v>44</v>
      </c>
      <c r="C209" t="s">
        <v>85</v>
      </c>
      <c r="D209" t="s">
        <v>88</v>
      </c>
      <c r="E209" t="s">
        <v>93</v>
      </c>
      <c r="F209" t="s">
        <v>102</v>
      </c>
      <c r="G209">
        <v>34</v>
      </c>
      <c r="H209" t="s">
        <v>111</v>
      </c>
      <c r="I209" t="s">
        <v>22</v>
      </c>
      <c r="J209" t="s">
        <v>53</v>
      </c>
      <c r="K209" t="s">
        <v>19</v>
      </c>
      <c r="L209" t="s">
        <v>10</v>
      </c>
      <c r="M209" t="s">
        <v>130</v>
      </c>
      <c r="N209" t="s">
        <v>130</v>
      </c>
      <c r="O209" t="s">
        <v>130</v>
      </c>
      <c r="P209" t="s">
        <v>129</v>
      </c>
      <c r="Q209">
        <v>2</v>
      </c>
      <c r="R209">
        <v>29293</v>
      </c>
    </row>
    <row r="210" spans="1:18" x14ac:dyDescent="0.25">
      <c r="A210">
        <v>60000209</v>
      </c>
      <c r="B210">
        <v>35</v>
      </c>
      <c r="C210" t="s">
        <v>85</v>
      </c>
      <c r="D210" t="s">
        <v>87</v>
      </c>
      <c r="E210" t="s">
        <v>92</v>
      </c>
      <c r="F210" t="s">
        <v>102</v>
      </c>
      <c r="G210">
        <v>35</v>
      </c>
      <c r="H210" t="s">
        <v>111</v>
      </c>
      <c r="I210" t="s">
        <v>149</v>
      </c>
      <c r="J210" t="s">
        <v>53</v>
      </c>
      <c r="K210" t="s">
        <v>66</v>
      </c>
      <c r="L210" t="s">
        <v>10</v>
      </c>
      <c r="M210" t="s">
        <v>130</v>
      </c>
      <c r="N210" t="s">
        <v>130</v>
      </c>
      <c r="O210" t="s">
        <v>130</v>
      </c>
      <c r="P210" t="s">
        <v>129</v>
      </c>
      <c r="Q210">
        <v>2</v>
      </c>
      <c r="R210">
        <v>49172</v>
      </c>
    </row>
    <row r="211" spans="1:18" x14ac:dyDescent="0.25">
      <c r="A211">
        <v>60000210</v>
      </c>
      <c r="B211">
        <v>55</v>
      </c>
      <c r="C211" t="s">
        <v>86</v>
      </c>
      <c r="D211" t="s">
        <v>87</v>
      </c>
      <c r="E211" t="s">
        <v>93</v>
      </c>
      <c r="F211" t="s">
        <v>102</v>
      </c>
      <c r="G211">
        <v>25</v>
      </c>
      <c r="H211" t="s">
        <v>110</v>
      </c>
      <c r="I211" t="s">
        <v>29</v>
      </c>
      <c r="J211" t="s">
        <v>25</v>
      </c>
      <c r="K211" t="s">
        <v>20</v>
      </c>
      <c r="L211" t="s">
        <v>10</v>
      </c>
      <c r="M211" t="s">
        <v>130</v>
      </c>
      <c r="N211" t="s">
        <v>130</v>
      </c>
      <c r="O211" t="s">
        <v>130</v>
      </c>
      <c r="P211" t="s">
        <v>129</v>
      </c>
      <c r="Q211">
        <v>1</v>
      </c>
      <c r="R211">
        <v>56939</v>
      </c>
    </row>
    <row r="212" spans="1:18" x14ac:dyDescent="0.25">
      <c r="A212">
        <v>60000211</v>
      </c>
      <c r="B212">
        <v>62</v>
      </c>
      <c r="C212" t="s">
        <v>86</v>
      </c>
      <c r="D212" t="s">
        <v>88</v>
      </c>
      <c r="E212" t="s">
        <v>100</v>
      </c>
      <c r="F212" t="s">
        <v>102</v>
      </c>
      <c r="G212">
        <v>13</v>
      </c>
      <c r="H212" t="s">
        <v>132</v>
      </c>
      <c r="I212" t="s">
        <v>50</v>
      </c>
      <c r="J212" t="s">
        <v>53</v>
      </c>
      <c r="K212" t="s">
        <v>24</v>
      </c>
      <c r="L212" t="s">
        <v>10</v>
      </c>
      <c r="M212" t="s">
        <v>130</v>
      </c>
      <c r="N212" t="s">
        <v>130</v>
      </c>
      <c r="O212" t="s">
        <v>130</v>
      </c>
      <c r="P212" t="s">
        <v>129</v>
      </c>
      <c r="Q212">
        <v>6</v>
      </c>
      <c r="R212">
        <v>68211</v>
      </c>
    </row>
    <row r="213" spans="1:18" x14ac:dyDescent="0.25">
      <c r="A213">
        <v>60000212</v>
      </c>
      <c r="B213">
        <v>32</v>
      </c>
      <c r="C213" t="s">
        <v>86</v>
      </c>
      <c r="D213" t="s">
        <v>87</v>
      </c>
      <c r="E213" t="s">
        <v>98</v>
      </c>
      <c r="F213" t="s">
        <v>102</v>
      </c>
      <c r="G213">
        <v>30</v>
      </c>
      <c r="H213" t="s">
        <v>110</v>
      </c>
      <c r="I213" t="s">
        <v>55</v>
      </c>
      <c r="J213" t="s">
        <v>47</v>
      </c>
      <c r="K213" t="s">
        <v>24</v>
      </c>
      <c r="L213" t="s">
        <v>10</v>
      </c>
      <c r="M213" t="s">
        <v>130</v>
      </c>
      <c r="N213" t="s">
        <v>130</v>
      </c>
      <c r="O213" t="s">
        <v>130</v>
      </c>
      <c r="P213" t="s">
        <v>129</v>
      </c>
      <c r="Q213">
        <v>3</v>
      </c>
      <c r="R213">
        <v>28402</v>
      </c>
    </row>
    <row r="214" spans="1:18" x14ac:dyDescent="0.25">
      <c r="A214">
        <v>60000213</v>
      </c>
      <c r="B214">
        <v>56</v>
      </c>
      <c r="C214" t="s">
        <v>85</v>
      </c>
      <c r="D214" t="s">
        <v>87</v>
      </c>
      <c r="E214" t="s">
        <v>100</v>
      </c>
      <c r="F214" t="s">
        <v>102</v>
      </c>
      <c r="G214">
        <v>31</v>
      </c>
      <c r="H214" t="s">
        <v>110</v>
      </c>
      <c r="I214" t="s">
        <v>11</v>
      </c>
      <c r="J214" t="s">
        <v>25</v>
      </c>
      <c r="K214" t="s">
        <v>35</v>
      </c>
      <c r="L214" t="s">
        <v>10</v>
      </c>
      <c r="M214" t="s">
        <v>130</v>
      </c>
      <c r="N214" t="s">
        <v>130</v>
      </c>
      <c r="O214" t="s">
        <v>130</v>
      </c>
      <c r="P214" t="s">
        <v>129</v>
      </c>
      <c r="Q214">
        <v>7</v>
      </c>
      <c r="R214">
        <v>55637</v>
      </c>
    </row>
    <row r="215" spans="1:18" x14ac:dyDescent="0.25">
      <c r="A215">
        <v>60000214</v>
      </c>
      <c r="B215">
        <v>31</v>
      </c>
      <c r="C215" t="s">
        <v>86</v>
      </c>
      <c r="D215" t="s">
        <v>87</v>
      </c>
      <c r="E215" t="s">
        <v>100</v>
      </c>
      <c r="F215" t="s">
        <v>102</v>
      </c>
      <c r="G215">
        <v>29</v>
      </c>
      <c r="H215" t="s">
        <v>110</v>
      </c>
      <c r="I215" t="s">
        <v>11</v>
      </c>
      <c r="J215" t="s">
        <v>32</v>
      </c>
      <c r="K215" t="s">
        <v>52</v>
      </c>
      <c r="L215" t="s">
        <v>10</v>
      </c>
      <c r="M215" t="s">
        <v>130</v>
      </c>
      <c r="N215" t="s">
        <v>130</v>
      </c>
      <c r="O215" t="s">
        <v>130</v>
      </c>
      <c r="P215" t="s">
        <v>129</v>
      </c>
      <c r="Q215">
        <v>7</v>
      </c>
      <c r="R215">
        <v>60695</v>
      </c>
    </row>
    <row r="216" spans="1:18" x14ac:dyDescent="0.25">
      <c r="A216">
        <v>60000215</v>
      </c>
      <c r="B216">
        <v>49</v>
      </c>
      <c r="C216" t="s">
        <v>85</v>
      </c>
      <c r="D216" t="s">
        <v>88</v>
      </c>
      <c r="E216" t="s">
        <v>92</v>
      </c>
      <c r="F216" t="s">
        <v>102</v>
      </c>
      <c r="G216">
        <v>35</v>
      </c>
      <c r="H216" t="s">
        <v>111</v>
      </c>
      <c r="I216" t="s">
        <v>145</v>
      </c>
      <c r="J216" t="s">
        <v>62</v>
      </c>
      <c r="K216" t="s">
        <v>56</v>
      </c>
      <c r="L216" t="s">
        <v>10</v>
      </c>
      <c r="M216" t="s">
        <v>130</v>
      </c>
      <c r="N216" t="s">
        <v>130</v>
      </c>
      <c r="O216" t="s">
        <v>130</v>
      </c>
      <c r="P216" t="s">
        <v>130</v>
      </c>
      <c r="Q216">
        <v>0</v>
      </c>
      <c r="R216">
        <v>48064</v>
      </c>
    </row>
    <row r="217" spans="1:18" x14ac:dyDescent="0.25">
      <c r="A217">
        <v>60000216</v>
      </c>
      <c r="B217">
        <v>21</v>
      </c>
      <c r="C217" t="s">
        <v>85</v>
      </c>
      <c r="D217" t="s">
        <v>88</v>
      </c>
      <c r="E217" t="s">
        <v>99</v>
      </c>
      <c r="F217" t="s">
        <v>102</v>
      </c>
      <c r="G217">
        <v>37</v>
      </c>
      <c r="H217" t="s">
        <v>111</v>
      </c>
      <c r="I217" t="s">
        <v>144</v>
      </c>
      <c r="J217" t="s">
        <v>62</v>
      </c>
      <c r="K217" t="s">
        <v>33</v>
      </c>
      <c r="L217" t="s">
        <v>10</v>
      </c>
      <c r="M217" t="s">
        <v>130</v>
      </c>
      <c r="N217" t="s">
        <v>130</v>
      </c>
      <c r="O217" t="s">
        <v>130</v>
      </c>
      <c r="P217" t="s">
        <v>130</v>
      </c>
      <c r="Q217">
        <v>0</v>
      </c>
      <c r="R217">
        <v>65535</v>
      </c>
    </row>
    <row r="218" spans="1:18" x14ac:dyDescent="0.25">
      <c r="A218">
        <v>60000217</v>
      </c>
      <c r="B218">
        <v>32</v>
      </c>
      <c r="C218" t="s">
        <v>85</v>
      </c>
      <c r="D218" t="s">
        <v>88</v>
      </c>
      <c r="E218" t="s">
        <v>90</v>
      </c>
      <c r="F218" t="s">
        <v>102</v>
      </c>
      <c r="G218">
        <v>21</v>
      </c>
      <c r="H218" t="s">
        <v>109</v>
      </c>
      <c r="I218" t="s">
        <v>22</v>
      </c>
      <c r="J218" t="s">
        <v>18</v>
      </c>
      <c r="K218" t="s">
        <v>51</v>
      </c>
      <c r="L218" t="s">
        <v>10</v>
      </c>
      <c r="M218" t="s">
        <v>130</v>
      </c>
      <c r="N218" t="s">
        <v>130</v>
      </c>
      <c r="O218" t="s">
        <v>130</v>
      </c>
      <c r="P218" t="s">
        <v>129</v>
      </c>
      <c r="Q218">
        <v>5</v>
      </c>
      <c r="R218">
        <v>29266</v>
      </c>
    </row>
    <row r="219" spans="1:18" x14ac:dyDescent="0.25">
      <c r="A219">
        <v>60000218</v>
      </c>
      <c r="B219">
        <v>43</v>
      </c>
      <c r="C219" t="s">
        <v>86</v>
      </c>
      <c r="D219" t="s">
        <v>87</v>
      </c>
      <c r="E219" t="s">
        <v>99</v>
      </c>
      <c r="F219" t="s">
        <v>102</v>
      </c>
      <c r="G219">
        <v>32</v>
      </c>
      <c r="H219" t="s">
        <v>111</v>
      </c>
      <c r="I219" t="s">
        <v>150</v>
      </c>
      <c r="J219" t="s">
        <v>12</v>
      </c>
      <c r="K219" t="s">
        <v>34</v>
      </c>
      <c r="L219" t="s">
        <v>10</v>
      </c>
      <c r="M219" t="s">
        <v>130</v>
      </c>
      <c r="N219" t="s">
        <v>130</v>
      </c>
      <c r="O219" t="s">
        <v>130</v>
      </c>
      <c r="P219" t="s">
        <v>129</v>
      </c>
      <c r="Q219">
        <v>2</v>
      </c>
      <c r="R219">
        <v>45406</v>
      </c>
    </row>
    <row r="220" spans="1:18" x14ac:dyDescent="0.25">
      <c r="A220">
        <v>60000219</v>
      </c>
      <c r="B220">
        <v>22</v>
      </c>
      <c r="C220" t="s">
        <v>85</v>
      </c>
      <c r="D220" t="s">
        <v>88</v>
      </c>
      <c r="E220" t="s">
        <v>99</v>
      </c>
      <c r="F220" t="s">
        <v>102</v>
      </c>
      <c r="G220">
        <v>19</v>
      </c>
      <c r="H220" t="s">
        <v>109</v>
      </c>
      <c r="I220" t="s">
        <v>144</v>
      </c>
      <c r="J220" t="s">
        <v>16</v>
      </c>
      <c r="K220" t="s">
        <v>45</v>
      </c>
      <c r="L220" t="s">
        <v>10</v>
      </c>
      <c r="M220" t="s">
        <v>130</v>
      </c>
      <c r="N220" t="s">
        <v>130</v>
      </c>
      <c r="O220" t="s">
        <v>130</v>
      </c>
      <c r="P220" t="s">
        <v>130</v>
      </c>
      <c r="Q220">
        <v>0</v>
      </c>
      <c r="R220">
        <v>41428</v>
      </c>
    </row>
    <row r="221" spans="1:18" x14ac:dyDescent="0.25">
      <c r="A221">
        <v>60000220</v>
      </c>
      <c r="B221">
        <v>31</v>
      </c>
      <c r="C221" t="s">
        <v>85</v>
      </c>
      <c r="D221" t="s">
        <v>87</v>
      </c>
      <c r="E221" t="s">
        <v>95</v>
      </c>
      <c r="F221" t="s">
        <v>102</v>
      </c>
      <c r="G221">
        <v>27</v>
      </c>
      <c r="H221" t="s">
        <v>110</v>
      </c>
      <c r="I221" t="s">
        <v>139</v>
      </c>
      <c r="J221" t="s">
        <v>23</v>
      </c>
      <c r="K221" t="s">
        <v>46</v>
      </c>
      <c r="L221" t="s">
        <v>10</v>
      </c>
      <c r="M221" t="s">
        <v>130</v>
      </c>
      <c r="N221" t="s">
        <v>130</v>
      </c>
      <c r="O221" t="s">
        <v>130</v>
      </c>
      <c r="P221" t="s">
        <v>130</v>
      </c>
      <c r="Q221">
        <v>0</v>
      </c>
      <c r="R221">
        <v>73750</v>
      </c>
    </row>
    <row r="222" spans="1:18" x14ac:dyDescent="0.25">
      <c r="A222">
        <v>60000221</v>
      </c>
      <c r="B222">
        <v>29</v>
      </c>
      <c r="C222" t="s">
        <v>85</v>
      </c>
      <c r="D222" t="s">
        <v>88</v>
      </c>
      <c r="E222" t="s">
        <v>5</v>
      </c>
      <c r="F222" t="s">
        <v>102</v>
      </c>
      <c r="G222">
        <v>14</v>
      </c>
      <c r="H222" t="s">
        <v>132</v>
      </c>
      <c r="I222" t="s">
        <v>149</v>
      </c>
      <c r="J222" t="s">
        <v>18</v>
      </c>
      <c r="K222" t="s">
        <v>13</v>
      </c>
      <c r="L222" t="s">
        <v>10</v>
      </c>
      <c r="M222" t="s">
        <v>130</v>
      </c>
      <c r="N222" t="s">
        <v>130</v>
      </c>
      <c r="O222" t="s">
        <v>130</v>
      </c>
      <c r="P222" t="s">
        <v>129</v>
      </c>
      <c r="Q222">
        <v>2</v>
      </c>
      <c r="R222">
        <v>72331</v>
      </c>
    </row>
    <row r="223" spans="1:18" x14ac:dyDescent="0.25">
      <c r="A223">
        <v>60000222</v>
      </c>
      <c r="B223">
        <v>31</v>
      </c>
      <c r="C223" t="s">
        <v>86</v>
      </c>
      <c r="D223" t="s">
        <v>87</v>
      </c>
      <c r="E223" t="s">
        <v>92</v>
      </c>
      <c r="F223" t="s">
        <v>102</v>
      </c>
      <c r="G223">
        <v>20</v>
      </c>
      <c r="H223" t="s">
        <v>109</v>
      </c>
      <c r="I223" t="s">
        <v>50</v>
      </c>
      <c r="J223" t="s">
        <v>23</v>
      </c>
      <c r="K223" t="s">
        <v>67</v>
      </c>
      <c r="L223" t="s">
        <v>10</v>
      </c>
      <c r="M223" t="s">
        <v>130</v>
      </c>
      <c r="N223" t="s">
        <v>130</v>
      </c>
      <c r="O223" t="s">
        <v>130</v>
      </c>
      <c r="P223" t="s">
        <v>130</v>
      </c>
      <c r="Q223">
        <v>0</v>
      </c>
      <c r="R223">
        <v>35213</v>
      </c>
    </row>
    <row r="224" spans="1:18" x14ac:dyDescent="0.25">
      <c r="A224">
        <v>60000223</v>
      </c>
      <c r="B224">
        <v>60</v>
      </c>
      <c r="C224" t="s">
        <v>85</v>
      </c>
      <c r="D224" t="s">
        <v>88</v>
      </c>
      <c r="E224" t="s">
        <v>97</v>
      </c>
      <c r="F224" t="s">
        <v>102</v>
      </c>
      <c r="G224">
        <v>13</v>
      </c>
      <c r="H224" t="s">
        <v>132</v>
      </c>
      <c r="I224" t="s">
        <v>29</v>
      </c>
      <c r="J224" t="s">
        <v>23</v>
      </c>
      <c r="K224" t="s">
        <v>20</v>
      </c>
      <c r="L224" t="s">
        <v>10</v>
      </c>
      <c r="M224" t="s">
        <v>130</v>
      </c>
      <c r="N224" t="s">
        <v>130</v>
      </c>
      <c r="O224" t="s">
        <v>130</v>
      </c>
      <c r="P224" t="s">
        <v>129</v>
      </c>
      <c r="Q224">
        <v>4</v>
      </c>
      <c r="R224">
        <v>82583</v>
      </c>
    </row>
    <row r="225" spans="1:18" x14ac:dyDescent="0.25">
      <c r="A225">
        <v>60000224</v>
      </c>
      <c r="B225">
        <v>58</v>
      </c>
      <c r="C225" t="s">
        <v>85</v>
      </c>
      <c r="D225" t="s">
        <v>87</v>
      </c>
      <c r="E225" t="s">
        <v>100</v>
      </c>
      <c r="F225" t="s">
        <v>102</v>
      </c>
      <c r="G225">
        <v>29</v>
      </c>
      <c r="H225" t="s">
        <v>110</v>
      </c>
      <c r="I225" t="s">
        <v>143</v>
      </c>
      <c r="J225" t="s">
        <v>25</v>
      </c>
      <c r="K225" t="s">
        <v>38</v>
      </c>
      <c r="L225" t="s">
        <v>10</v>
      </c>
      <c r="M225" t="s">
        <v>130</v>
      </c>
      <c r="N225" t="s">
        <v>130</v>
      </c>
      <c r="O225" t="s">
        <v>130</v>
      </c>
      <c r="P225" t="s">
        <v>129</v>
      </c>
      <c r="Q225">
        <v>2</v>
      </c>
      <c r="R225">
        <v>80511</v>
      </c>
    </row>
    <row r="226" spans="1:18" x14ac:dyDescent="0.25">
      <c r="A226">
        <v>60000225</v>
      </c>
      <c r="B226">
        <v>26</v>
      </c>
      <c r="C226" t="s">
        <v>86</v>
      </c>
      <c r="D226" t="s">
        <v>87</v>
      </c>
      <c r="E226" t="s">
        <v>98</v>
      </c>
      <c r="F226" t="s">
        <v>102</v>
      </c>
      <c r="G226">
        <v>35</v>
      </c>
      <c r="H226" t="s">
        <v>111</v>
      </c>
      <c r="I226" t="s">
        <v>11</v>
      </c>
      <c r="J226" t="s">
        <v>32</v>
      </c>
      <c r="K226" t="s">
        <v>17</v>
      </c>
      <c r="L226" t="s">
        <v>10</v>
      </c>
      <c r="M226" t="s">
        <v>130</v>
      </c>
      <c r="N226" t="s">
        <v>130</v>
      </c>
      <c r="O226" t="s">
        <v>130</v>
      </c>
      <c r="P226" t="s">
        <v>129</v>
      </c>
      <c r="Q226">
        <v>0</v>
      </c>
      <c r="R226">
        <v>62373</v>
      </c>
    </row>
    <row r="227" spans="1:18" x14ac:dyDescent="0.25">
      <c r="A227">
        <v>60000226</v>
      </c>
      <c r="B227">
        <v>62</v>
      </c>
      <c r="C227" t="s">
        <v>85</v>
      </c>
      <c r="D227" t="s">
        <v>88</v>
      </c>
      <c r="E227" t="s">
        <v>98</v>
      </c>
      <c r="F227" t="s">
        <v>102</v>
      </c>
      <c r="G227">
        <v>38</v>
      </c>
      <c r="H227" t="s">
        <v>111</v>
      </c>
      <c r="I227" t="s">
        <v>143</v>
      </c>
      <c r="J227" t="s">
        <v>14</v>
      </c>
      <c r="K227" t="s">
        <v>11</v>
      </c>
      <c r="L227" t="s">
        <v>10</v>
      </c>
      <c r="M227" t="s">
        <v>130</v>
      </c>
      <c r="N227" t="s">
        <v>130</v>
      </c>
      <c r="O227" t="s">
        <v>130</v>
      </c>
      <c r="P227" t="s">
        <v>129</v>
      </c>
      <c r="Q227">
        <v>3</v>
      </c>
      <c r="R227">
        <v>67931</v>
      </c>
    </row>
    <row r="228" spans="1:18" x14ac:dyDescent="0.25">
      <c r="A228">
        <v>60000227</v>
      </c>
      <c r="B228">
        <v>26</v>
      </c>
      <c r="C228" t="s">
        <v>86</v>
      </c>
      <c r="D228" t="s">
        <v>87</v>
      </c>
      <c r="E228" t="s">
        <v>98</v>
      </c>
      <c r="F228" t="s">
        <v>102</v>
      </c>
      <c r="G228">
        <v>32</v>
      </c>
      <c r="H228" t="s">
        <v>111</v>
      </c>
      <c r="I228" t="s">
        <v>146</v>
      </c>
      <c r="J228" t="s">
        <v>75</v>
      </c>
      <c r="K228" t="s">
        <v>43</v>
      </c>
      <c r="L228" t="s">
        <v>10</v>
      </c>
      <c r="M228" t="s">
        <v>130</v>
      </c>
      <c r="N228" t="s">
        <v>130</v>
      </c>
      <c r="O228" t="s">
        <v>130</v>
      </c>
      <c r="P228" t="s">
        <v>130</v>
      </c>
      <c r="Q228">
        <v>0</v>
      </c>
      <c r="R228">
        <v>64359</v>
      </c>
    </row>
    <row r="229" spans="1:18" x14ac:dyDescent="0.25">
      <c r="A229">
        <v>60000228</v>
      </c>
      <c r="B229">
        <v>59</v>
      </c>
      <c r="C229" t="s">
        <v>86</v>
      </c>
      <c r="D229" t="s">
        <v>87</v>
      </c>
      <c r="E229" t="s">
        <v>98</v>
      </c>
      <c r="F229" t="s">
        <v>102</v>
      </c>
      <c r="G229">
        <v>11</v>
      </c>
      <c r="H229" t="s">
        <v>108</v>
      </c>
      <c r="I229" t="s">
        <v>55</v>
      </c>
      <c r="J229" t="s">
        <v>23</v>
      </c>
      <c r="K229" t="s">
        <v>26</v>
      </c>
      <c r="L229" t="s">
        <v>10</v>
      </c>
      <c r="M229" t="s">
        <v>130</v>
      </c>
      <c r="N229" t="s">
        <v>130</v>
      </c>
      <c r="O229" t="s">
        <v>130</v>
      </c>
      <c r="P229" t="s">
        <v>129</v>
      </c>
      <c r="Q229">
        <v>7</v>
      </c>
      <c r="R229">
        <v>63840</v>
      </c>
    </row>
    <row r="230" spans="1:18" x14ac:dyDescent="0.25">
      <c r="A230">
        <v>60000229</v>
      </c>
      <c r="B230">
        <v>49</v>
      </c>
      <c r="C230" t="s">
        <v>85</v>
      </c>
      <c r="D230" t="s">
        <v>87</v>
      </c>
      <c r="E230" t="s">
        <v>100</v>
      </c>
      <c r="F230" t="s">
        <v>102</v>
      </c>
      <c r="G230">
        <v>16</v>
      </c>
      <c r="H230" t="s">
        <v>132</v>
      </c>
      <c r="I230" t="s">
        <v>141</v>
      </c>
      <c r="J230" t="s">
        <v>9</v>
      </c>
      <c r="K230" t="s">
        <v>24</v>
      </c>
      <c r="L230" t="s">
        <v>10</v>
      </c>
      <c r="M230" t="s">
        <v>130</v>
      </c>
      <c r="N230" t="s">
        <v>130</v>
      </c>
      <c r="O230" t="s">
        <v>130</v>
      </c>
      <c r="P230" t="s">
        <v>129</v>
      </c>
      <c r="Q230">
        <v>4</v>
      </c>
      <c r="R230">
        <v>72038</v>
      </c>
    </row>
    <row r="231" spans="1:18" x14ac:dyDescent="0.25">
      <c r="A231">
        <v>60000230</v>
      </c>
      <c r="B231">
        <v>26</v>
      </c>
      <c r="C231" t="s">
        <v>85</v>
      </c>
      <c r="D231" t="s">
        <v>87</v>
      </c>
      <c r="E231" t="s">
        <v>5</v>
      </c>
      <c r="F231" t="s">
        <v>102</v>
      </c>
      <c r="G231">
        <v>29</v>
      </c>
      <c r="H231" t="s">
        <v>110</v>
      </c>
      <c r="I231" t="s">
        <v>139</v>
      </c>
      <c r="J231" t="s">
        <v>12</v>
      </c>
      <c r="K231" t="s">
        <v>19</v>
      </c>
      <c r="L231" t="s">
        <v>10</v>
      </c>
      <c r="M231" t="s">
        <v>130</v>
      </c>
      <c r="N231" t="s">
        <v>130</v>
      </c>
      <c r="O231" t="s">
        <v>130</v>
      </c>
      <c r="P231" t="s">
        <v>129</v>
      </c>
      <c r="Q231">
        <v>4</v>
      </c>
      <c r="R231">
        <v>26811</v>
      </c>
    </row>
    <row r="232" spans="1:18" x14ac:dyDescent="0.25">
      <c r="A232">
        <v>60000231</v>
      </c>
      <c r="B232">
        <v>27</v>
      </c>
      <c r="C232" t="s">
        <v>85</v>
      </c>
      <c r="D232" t="s">
        <v>87</v>
      </c>
      <c r="E232" t="s">
        <v>100</v>
      </c>
      <c r="F232" t="s">
        <v>102</v>
      </c>
      <c r="G232">
        <v>24</v>
      </c>
      <c r="H232" t="s">
        <v>109</v>
      </c>
      <c r="I232" t="s">
        <v>50</v>
      </c>
      <c r="J232" t="s">
        <v>25</v>
      </c>
      <c r="K232" t="s">
        <v>51</v>
      </c>
      <c r="L232" t="s">
        <v>10</v>
      </c>
      <c r="M232" t="s">
        <v>130</v>
      </c>
      <c r="N232" t="s">
        <v>130</v>
      </c>
      <c r="O232" t="s">
        <v>130</v>
      </c>
      <c r="P232" t="s">
        <v>129</v>
      </c>
      <c r="Q232">
        <v>0</v>
      </c>
      <c r="R232">
        <v>23963</v>
      </c>
    </row>
    <row r="233" spans="1:18" x14ac:dyDescent="0.25">
      <c r="A233">
        <v>60000232</v>
      </c>
      <c r="B233">
        <v>45</v>
      </c>
      <c r="C233" t="s">
        <v>86</v>
      </c>
      <c r="D233" t="s">
        <v>88</v>
      </c>
      <c r="E233" t="s">
        <v>5</v>
      </c>
      <c r="F233" t="s">
        <v>102</v>
      </c>
      <c r="G233">
        <v>31</v>
      </c>
      <c r="H233" t="s">
        <v>110</v>
      </c>
      <c r="I233" t="s">
        <v>55</v>
      </c>
      <c r="J233" t="s">
        <v>32</v>
      </c>
      <c r="K233" t="s">
        <v>35</v>
      </c>
      <c r="L233" t="s">
        <v>10</v>
      </c>
      <c r="M233" t="s">
        <v>130</v>
      </c>
      <c r="N233" t="s">
        <v>130</v>
      </c>
      <c r="O233" t="s">
        <v>130</v>
      </c>
      <c r="P233" t="s">
        <v>130</v>
      </c>
      <c r="Q233">
        <v>0</v>
      </c>
      <c r="R233">
        <v>32293</v>
      </c>
    </row>
    <row r="234" spans="1:18" x14ac:dyDescent="0.25">
      <c r="A234">
        <v>60000233</v>
      </c>
      <c r="B234">
        <v>47</v>
      </c>
      <c r="C234" t="s">
        <v>85</v>
      </c>
      <c r="D234" t="s">
        <v>87</v>
      </c>
      <c r="E234" t="s">
        <v>93</v>
      </c>
      <c r="F234" t="s">
        <v>102</v>
      </c>
      <c r="G234">
        <v>19</v>
      </c>
      <c r="H234" t="s">
        <v>109</v>
      </c>
      <c r="I234" t="s">
        <v>144</v>
      </c>
      <c r="J234" t="s">
        <v>14</v>
      </c>
      <c r="K234" t="s">
        <v>66</v>
      </c>
      <c r="L234" t="s">
        <v>10</v>
      </c>
      <c r="M234" t="s">
        <v>130</v>
      </c>
      <c r="N234" t="s">
        <v>130</v>
      </c>
      <c r="O234" t="s">
        <v>130</v>
      </c>
      <c r="P234" t="s">
        <v>129</v>
      </c>
      <c r="Q234">
        <v>1</v>
      </c>
      <c r="R234">
        <v>69178</v>
      </c>
    </row>
    <row r="235" spans="1:18" x14ac:dyDescent="0.25">
      <c r="A235">
        <v>60000234</v>
      </c>
      <c r="B235">
        <v>65</v>
      </c>
      <c r="C235" t="s">
        <v>85</v>
      </c>
      <c r="D235" t="s">
        <v>88</v>
      </c>
      <c r="E235" t="s">
        <v>95</v>
      </c>
      <c r="F235" t="s">
        <v>102</v>
      </c>
      <c r="G235">
        <v>25</v>
      </c>
      <c r="H235" t="s">
        <v>110</v>
      </c>
      <c r="I235" t="s">
        <v>149</v>
      </c>
      <c r="J235" t="s">
        <v>23</v>
      </c>
      <c r="K235" t="s">
        <v>28</v>
      </c>
      <c r="L235" t="s">
        <v>10</v>
      </c>
      <c r="M235" t="s">
        <v>130</v>
      </c>
      <c r="N235" t="s">
        <v>130</v>
      </c>
      <c r="O235" t="s">
        <v>130</v>
      </c>
      <c r="P235" t="s">
        <v>129</v>
      </c>
      <c r="Q235">
        <v>1</v>
      </c>
      <c r="R235">
        <v>52660</v>
      </c>
    </row>
    <row r="236" spans="1:18" x14ac:dyDescent="0.25">
      <c r="A236">
        <v>60000235</v>
      </c>
      <c r="B236">
        <v>28</v>
      </c>
      <c r="C236" t="s">
        <v>86</v>
      </c>
      <c r="D236" t="s">
        <v>88</v>
      </c>
      <c r="E236" t="s">
        <v>97</v>
      </c>
      <c r="F236" t="s">
        <v>102</v>
      </c>
      <c r="G236">
        <v>27</v>
      </c>
      <c r="H236" t="s">
        <v>110</v>
      </c>
      <c r="I236" t="s">
        <v>147</v>
      </c>
      <c r="J236" t="s">
        <v>53</v>
      </c>
      <c r="K236" t="s">
        <v>17</v>
      </c>
      <c r="L236" t="s">
        <v>10</v>
      </c>
      <c r="M236" t="s">
        <v>130</v>
      </c>
      <c r="N236" t="s">
        <v>130</v>
      </c>
      <c r="O236" t="s">
        <v>130</v>
      </c>
      <c r="P236" t="s">
        <v>130</v>
      </c>
      <c r="Q236">
        <v>0</v>
      </c>
      <c r="R236">
        <v>40589</v>
      </c>
    </row>
    <row r="237" spans="1:18" x14ac:dyDescent="0.25">
      <c r="A237">
        <v>60000236</v>
      </c>
      <c r="B237">
        <v>52</v>
      </c>
      <c r="C237" t="s">
        <v>86</v>
      </c>
      <c r="D237" t="s">
        <v>88</v>
      </c>
      <c r="E237" t="s">
        <v>92</v>
      </c>
      <c r="F237" t="s">
        <v>102</v>
      </c>
      <c r="G237">
        <v>10</v>
      </c>
      <c r="H237" t="s">
        <v>108</v>
      </c>
      <c r="I237" t="s">
        <v>140</v>
      </c>
      <c r="J237" t="s">
        <v>25</v>
      </c>
      <c r="K237" t="s">
        <v>49</v>
      </c>
      <c r="L237" t="s">
        <v>10</v>
      </c>
      <c r="M237" t="s">
        <v>130</v>
      </c>
      <c r="N237" t="s">
        <v>130</v>
      </c>
      <c r="O237" t="s">
        <v>130</v>
      </c>
      <c r="P237" t="s">
        <v>129</v>
      </c>
      <c r="Q237">
        <v>5</v>
      </c>
      <c r="R237">
        <v>35339</v>
      </c>
    </row>
    <row r="238" spans="1:18" x14ac:dyDescent="0.25">
      <c r="A238">
        <v>60000237</v>
      </c>
      <c r="B238">
        <v>22</v>
      </c>
      <c r="C238" t="s">
        <v>86</v>
      </c>
      <c r="D238" t="s">
        <v>88</v>
      </c>
      <c r="E238" t="s">
        <v>93</v>
      </c>
      <c r="F238" t="s">
        <v>102</v>
      </c>
      <c r="G238">
        <v>15</v>
      </c>
      <c r="H238" t="s">
        <v>132</v>
      </c>
      <c r="I238" t="s">
        <v>142</v>
      </c>
      <c r="J238" t="s">
        <v>12</v>
      </c>
      <c r="K238" t="s">
        <v>68</v>
      </c>
      <c r="L238" t="s">
        <v>10</v>
      </c>
      <c r="M238" t="s">
        <v>130</v>
      </c>
      <c r="N238" t="s">
        <v>130</v>
      </c>
      <c r="O238" t="s">
        <v>130</v>
      </c>
      <c r="P238" t="s">
        <v>130</v>
      </c>
      <c r="Q238">
        <v>0</v>
      </c>
      <c r="R238">
        <v>31305</v>
      </c>
    </row>
    <row r="239" spans="1:18" x14ac:dyDescent="0.25">
      <c r="A239">
        <v>60000238</v>
      </c>
      <c r="B239">
        <v>39</v>
      </c>
      <c r="C239" t="s">
        <v>85</v>
      </c>
      <c r="D239" t="s">
        <v>88</v>
      </c>
      <c r="E239" t="s">
        <v>94</v>
      </c>
      <c r="F239" t="s">
        <v>102</v>
      </c>
      <c r="G239">
        <v>38</v>
      </c>
      <c r="H239" t="s">
        <v>111</v>
      </c>
      <c r="I239" t="s">
        <v>142</v>
      </c>
      <c r="J239" t="s">
        <v>12</v>
      </c>
      <c r="K239" t="s">
        <v>67</v>
      </c>
      <c r="L239" t="s">
        <v>10</v>
      </c>
      <c r="M239" t="s">
        <v>130</v>
      </c>
      <c r="N239" t="s">
        <v>130</v>
      </c>
      <c r="O239" t="s">
        <v>130</v>
      </c>
      <c r="P239" t="s">
        <v>129</v>
      </c>
      <c r="Q239">
        <v>0</v>
      </c>
      <c r="R239">
        <v>42758</v>
      </c>
    </row>
    <row r="240" spans="1:18" x14ac:dyDescent="0.25">
      <c r="A240">
        <v>60000239</v>
      </c>
      <c r="B240">
        <v>47</v>
      </c>
      <c r="C240" t="s">
        <v>85</v>
      </c>
      <c r="D240" t="s">
        <v>88</v>
      </c>
      <c r="E240" t="s">
        <v>93</v>
      </c>
      <c r="F240" t="s">
        <v>102</v>
      </c>
      <c r="G240">
        <v>12</v>
      </c>
      <c r="H240" t="s">
        <v>132</v>
      </c>
      <c r="I240" t="s">
        <v>55</v>
      </c>
      <c r="J240" t="s">
        <v>12</v>
      </c>
      <c r="K240" t="s">
        <v>56</v>
      </c>
      <c r="L240" t="s">
        <v>59</v>
      </c>
      <c r="M240" t="s">
        <v>130</v>
      </c>
      <c r="N240" t="s">
        <v>130</v>
      </c>
      <c r="O240" t="s">
        <v>130</v>
      </c>
      <c r="P240" t="s">
        <v>130</v>
      </c>
      <c r="Q240">
        <v>0</v>
      </c>
      <c r="R240">
        <v>52307</v>
      </c>
    </row>
    <row r="241" spans="1:18" x14ac:dyDescent="0.25">
      <c r="A241">
        <v>60000240</v>
      </c>
      <c r="B241">
        <v>65</v>
      </c>
      <c r="C241" t="s">
        <v>85</v>
      </c>
      <c r="D241" t="s">
        <v>88</v>
      </c>
      <c r="E241" t="s">
        <v>90</v>
      </c>
      <c r="F241" t="s">
        <v>102</v>
      </c>
      <c r="G241">
        <v>36</v>
      </c>
      <c r="H241" t="s">
        <v>111</v>
      </c>
      <c r="I241" t="s">
        <v>29</v>
      </c>
      <c r="J241" t="s">
        <v>62</v>
      </c>
      <c r="K241" t="s">
        <v>39</v>
      </c>
      <c r="L241" t="s">
        <v>128</v>
      </c>
      <c r="M241" t="s">
        <v>130</v>
      </c>
      <c r="N241" t="s">
        <v>130</v>
      </c>
      <c r="O241" t="s">
        <v>130</v>
      </c>
      <c r="P241" t="s">
        <v>130</v>
      </c>
      <c r="Q241">
        <v>0</v>
      </c>
      <c r="R241">
        <v>27291</v>
      </c>
    </row>
    <row r="242" spans="1:18" x14ac:dyDescent="0.25">
      <c r="A242">
        <v>60000241</v>
      </c>
      <c r="B242">
        <v>57</v>
      </c>
      <c r="C242" t="s">
        <v>85</v>
      </c>
      <c r="D242" t="s">
        <v>87</v>
      </c>
      <c r="E242" t="s">
        <v>92</v>
      </c>
      <c r="F242" t="s">
        <v>102</v>
      </c>
      <c r="G242">
        <v>14</v>
      </c>
      <c r="H242" t="s">
        <v>132</v>
      </c>
      <c r="I242" t="s">
        <v>139</v>
      </c>
      <c r="J242" t="s">
        <v>75</v>
      </c>
      <c r="K242" t="s">
        <v>71</v>
      </c>
      <c r="L242" t="s">
        <v>10</v>
      </c>
      <c r="M242" t="s">
        <v>130</v>
      </c>
      <c r="N242" t="s">
        <v>130</v>
      </c>
      <c r="O242" t="s">
        <v>130</v>
      </c>
      <c r="P242" t="s">
        <v>129</v>
      </c>
      <c r="Q242">
        <v>3</v>
      </c>
      <c r="R242">
        <v>33519</v>
      </c>
    </row>
    <row r="243" spans="1:18" x14ac:dyDescent="0.25">
      <c r="A243">
        <v>60000242</v>
      </c>
      <c r="B243">
        <v>60</v>
      </c>
      <c r="C243" t="s">
        <v>85</v>
      </c>
      <c r="D243" t="s">
        <v>87</v>
      </c>
      <c r="E243" t="s">
        <v>98</v>
      </c>
      <c r="F243" t="s">
        <v>102</v>
      </c>
      <c r="G243">
        <v>11</v>
      </c>
      <c r="H243" t="s">
        <v>108</v>
      </c>
      <c r="I243" t="s">
        <v>146</v>
      </c>
      <c r="J243" t="s">
        <v>23</v>
      </c>
      <c r="K243" t="s">
        <v>63</v>
      </c>
      <c r="L243" t="s">
        <v>128</v>
      </c>
      <c r="M243" t="s">
        <v>129</v>
      </c>
      <c r="N243" t="s">
        <v>129</v>
      </c>
      <c r="O243" t="s">
        <v>130</v>
      </c>
      <c r="P243" t="s">
        <v>130</v>
      </c>
      <c r="Q243">
        <v>0</v>
      </c>
      <c r="R243">
        <v>36838</v>
      </c>
    </row>
    <row r="244" spans="1:18" x14ac:dyDescent="0.25">
      <c r="A244">
        <v>60000243</v>
      </c>
      <c r="B244">
        <v>37</v>
      </c>
      <c r="C244" t="s">
        <v>86</v>
      </c>
      <c r="D244" t="s">
        <v>87</v>
      </c>
      <c r="E244" t="s">
        <v>98</v>
      </c>
      <c r="F244" t="s">
        <v>102</v>
      </c>
      <c r="G244">
        <v>14</v>
      </c>
      <c r="H244" t="s">
        <v>132</v>
      </c>
      <c r="I244" t="s">
        <v>142</v>
      </c>
      <c r="J244" t="s">
        <v>25</v>
      </c>
      <c r="K244" t="s">
        <v>17</v>
      </c>
      <c r="L244" t="s">
        <v>59</v>
      </c>
      <c r="M244" t="s">
        <v>129</v>
      </c>
      <c r="N244" t="s">
        <v>130</v>
      </c>
      <c r="O244" t="s">
        <v>129</v>
      </c>
      <c r="P244" t="s">
        <v>129</v>
      </c>
      <c r="Q244">
        <v>7</v>
      </c>
      <c r="R244">
        <v>71082</v>
      </c>
    </row>
    <row r="245" spans="1:18" x14ac:dyDescent="0.25">
      <c r="A245">
        <v>60000244</v>
      </c>
      <c r="B245">
        <v>33</v>
      </c>
      <c r="C245" t="s">
        <v>85</v>
      </c>
      <c r="D245" t="s">
        <v>87</v>
      </c>
      <c r="E245" t="s">
        <v>97</v>
      </c>
      <c r="F245" t="s">
        <v>102</v>
      </c>
      <c r="G245">
        <v>27</v>
      </c>
      <c r="H245" t="s">
        <v>110</v>
      </c>
      <c r="I245" t="s">
        <v>139</v>
      </c>
      <c r="J245" t="s">
        <v>9</v>
      </c>
      <c r="K245" t="s">
        <v>37</v>
      </c>
      <c r="L245" t="s">
        <v>59</v>
      </c>
      <c r="M245" t="s">
        <v>130</v>
      </c>
      <c r="N245" t="s">
        <v>130</v>
      </c>
      <c r="O245" t="s">
        <v>129</v>
      </c>
      <c r="P245" t="s">
        <v>130</v>
      </c>
      <c r="Q245">
        <v>0</v>
      </c>
      <c r="R245">
        <v>50431</v>
      </c>
    </row>
    <row r="246" spans="1:18" x14ac:dyDescent="0.25">
      <c r="A246">
        <v>60000245</v>
      </c>
      <c r="B246">
        <v>27</v>
      </c>
      <c r="C246" t="s">
        <v>86</v>
      </c>
      <c r="D246" t="s">
        <v>87</v>
      </c>
      <c r="E246" t="s">
        <v>95</v>
      </c>
      <c r="F246" t="s">
        <v>102</v>
      </c>
      <c r="G246">
        <v>10</v>
      </c>
      <c r="H246" t="s">
        <v>108</v>
      </c>
      <c r="I246" t="s">
        <v>50</v>
      </c>
      <c r="J246" t="s">
        <v>12</v>
      </c>
      <c r="K246" t="s">
        <v>68</v>
      </c>
      <c r="L246" t="s">
        <v>128</v>
      </c>
      <c r="M246" t="s">
        <v>130</v>
      </c>
      <c r="N246" t="s">
        <v>129</v>
      </c>
      <c r="O246" t="s">
        <v>130</v>
      </c>
      <c r="P246" t="s">
        <v>129</v>
      </c>
      <c r="Q246">
        <v>5</v>
      </c>
      <c r="R246">
        <v>27793</v>
      </c>
    </row>
    <row r="247" spans="1:18" x14ac:dyDescent="0.25">
      <c r="A247">
        <v>60000246</v>
      </c>
      <c r="B247">
        <v>26</v>
      </c>
      <c r="C247" t="s">
        <v>85</v>
      </c>
      <c r="D247" t="s">
        <v>87</v>
      </c>
      <c r="E247" t="s">
        <v>97</v>
      </c>
      <c r="F247" t="s">
        <v>102</v>
      </c>
      <c r="G247">
        <v>11</v>
      </c>
      <c r="H247" t="s">
        <v>108</v>
      </c>
      <c r="I247" t="s">
        <v>144</v>
      </c>
      <c r="J247" t="s">
        <v>25</v>
      </c>
      <c r="K247" t="s">
        <v>74</v>
      </c>
      <c r="L247" t="s">
        <v>59</v>
      </c>
      <c r="M247" t="s">
        <v>130</v>
      </c>
      <c r="N247" t="s">
        <v>129</v>
      </c>
      <c r="O247" t="s">
        <v>129</v>
      </c>
      <c r="P247" t="s">
        <v>129</v>
      </c>
      <c r="Q247">
        <v>6</v>
      </c>
      <c r="R247">
        <v>53157</v>
      </c>
    </row>
    <row r="248" spans="1:18" x14ac:dyDescent="0.25">
      <c r="A248">
        <v>60000247</v>
      </c>
      <c r="B248">
        <v>54</v>
      </c>
      <c r="C248" t="s">
        <v>86</v>
      </c>
      <c r="D248" t="s">
        <v>87</v>
      </c>
      <c r="E248" t="s">
        <v>92</v>
      </c>
      <c r="F248" t="s">
        <v>102</v>
      </c>
      <c r="G248">
        <v>35</v>
      </c>
      <c r="H248" t="s">
        <v>111</v>
      </c>
      <c r="I248" t="s">
        <v>145</v>
      </c>
      <c r="J248" t="s">
        <v>21</v>
      </c>
      <c r="K248" t="s">
        <v>26</v>
      </c>
      <c r="L248" t="s">
        <v>10</v>
      </c>
      <c r="M248" t="s">
        <v>130</v>
      </c>
      <c r="N248" t="s">
        <v>129</v>
      </c>
      <c r="O248" t="s">
        <v>130</v>
      </c>
      <c r="P248" t="s">
        <v>129</v>
      </c>
      <c r="Q248">
        <v>0</v>
      </c>
      <c r="R248">
        <v>62433</v>
      </c>
    </row>
    <row r="249" spans="1:18" x14ac:dyDescent="0.25">
      <c r="A249">
        <v>60000248</v>
      </c>
      <c r="B249">
        <v>28</v>
      </c>
      <c r="C249" t="s">
        <v>85</v>
      </c>
      <c r="D249" t="s">
        <v>87</v>
      </c>
      <c r="E249" t="s">
        <v>99</v>
      </c>
      <c r="F249" t="s">
        <v>102</v>
      </c>
      <c r="G249">
        <v>30</v>
      </c>
      <c r="H249" t="s">
        <v>110</v>
      </c>
      <c r="I249" t="s">
        <v>150</v>
      </c>
      <c r="J249" t="s">
        <v>25</v>
      </c>
      <c r="K249" t="s">
        <v>61</v>
      </c>
      <c r="L249" t="s">
        <v>128</v>
      </c>
      <c r="M249" t="s">
        <v>130</v>
      </c>
      <c r="N249" t="s">
        <v>130</v>
      </c>
      <c r="O249" t="s">
        <v>130</v>
      </c>
      <c r="P249" t="s">
        <v>130</v>
      </c>
      <c r="Q249">
        <v>0</v>
      </c>
      <c r="R249">
        <v>25103</v>
      </c>
    </row>
    <row r="250" spans="1:18" x14ac:dyDescent="0.25">
      <c r="A250">
        <v>60000249</v>
      </c>
      <c r="B250">
        <v>24</v>
      </c>
      <c r="C250" t="s">
        <v>85</v>
      </c>
      <c r="D250" t="s">
        <v>87</v>
      </c>
      <c r="E250" t="s">
        <v>94</v>
      </c>
      <c r="F250" t="s">
        <v>102</v>
      </c>
      <c r="G250">
        <v>34</v>
      </c>
      <c r="H250" t="s">
        <v>111</v>
      </c>
      <c r="I250" t="s">
        <v>150</v>
      </c>
      <c r="J250" t="s">
        <v>25</v>
      </c>
      <c r="K250" t="s">
        <v>51</v>
      </c>
      <c r="L250" t="s">
        <v>59</v>
      </c>
      <c r="M250" t="s">
        <v>129</v>
      </c>
      <c r="N250" t="s">
        <v>130</v>
      </c>
      <c r="O250" t="s">
        <v>129</v>
      </c>
      <c r="P250" t="s">
        <v>130</v>
      </c>
      <c r="Q250">
        <v>0</v>
      </c>
      <c r="R250">
        <v>36428</v>
      </c>
    </row>
    <row r="251" spans="1:18" x14ac:dyDescent="0.25">
      <c r="A251">
        <v>60000250</v>
      </c>
      <c r="B251">
        <v>48</v>
      </c>
      <c r="C251" t="s">
        <v>86</v>
      </c>
      <c r="D251" t="s">
        <v>87</v>
      </c>
      <c r="E251" t="s">
        <v>92</v>
      </c>
      <c r="F251" t="s">
        <v>102</v>
      </c>
      <c r="G251">
        <v>19</v>
      </c>
      <c r="H251" t="s">
        <v>109</v>
      </c>
      <c r="I251" t="s">
        <v>55</v>
      </c>
      <c r="J251" t="s">
        <v>16</v>
      </c>
      <c r="K251" t="s">
        <v>72</v>
      </c>
      <c r="L251" t="s">
        <v>59</v>
      </c>
      <c r="M251" t="s">
        <v>130</v>
      </c>
      <c r="N251" t="s">
        <v>129</v>
      </c>
      <c r="O251" t="s">
        <v>130</v>
      </c>
      <c r="P251" t="s">
        <v>129</v>
      </c>
      <c r="Q251">
        <v>2</v>
      </c>
      <c r="R251">
        <v>44679</v>
      </c>
    </row>
    <row r="252" spans="1:18" x14ac:dyDescent="0.25">
      <c r="A252">
        <v>60000251</v>
      </c>
      <c r="B252">
        <v>26</v>
      </c>
      <c r="C252" t="s">
        <v>85</v>
      </c>
      <c r="D252" t="s">
        <v>88</v>
      </c>
      <c r="E252" t="s">
        <v>100</v>
      </c>
      <c r="F252" t="s">
        <v>102</v>
      </c>
      <c r="G252">
        <v>21</v>
      </c>
      <c r="H252" t="s">
        <v>109</v>
      </c>
      <c r="I252" t="s">
        <v>29</v>
      </c>
      <c r="J252" t="s">
        <v>53</v>
      </c>
      <c r="K252" t="s">
        <v>41</v>
      </c>
      <c r="L252" t="s">
        <v>128</v>
      </c>
      <c r="M252" t="s">
        <v>129</v>
      </c>
      <c r="N252" t="s">
        <v>129</v>
      </c>
      <c r="O252" t="s">
        <v>130</v>
      </c>
      <c r="P252" t="s">
        <v>130</v>
      </c>
      <c r="Q252">
        <v>0</v>
      </c>
      <c r="R252">
        <v>60136</v>
      </c>
    </row>
    <row r="253" spans="1:18" x14ac:dyDescent="0.25">
      <c r="A253">
        <v>60000252</v>
      </c>
      <c r="B253">
        <v>30</v>
      </c>
      <c r="C253" t="s">
        <v>85</v>
      </c>
      <c r="D253" t="s">
        <v>88</v>
      </c>
      <c r="E253" t="s">
        <v>100</v>
      </c>
      <c r="F253" t="s">
        <v>102</v>
      </c>
      <c r="G253">
        <v>20</v>
      </c>
      <c r="H253" t="s">
        <v>109</v>
      </c>
      <c r="I253" t="s">
        <v>50</v>
      </c>
      <c r="J253" t="s">
        <v>75</v>
      </c>
      <c r="K253" t="s">
        <v>51</v>
      </c>
      <c r="L253" t="s">
        <v>10</v>
      </c>
      <c r="M253" t="s">
        <v>130</v>
      </c>
      <c r="N253" t="s">
        <v>129</v>
      </c>
      <c r="O253" t="s">
        <v>129</v>
      </c>
      <c r="P253" t="s">
        <v>130</v>
      </c>
      <c r="Q253">
        <v>0</v>
      </c>
      <c r="R253">
        <v>45590</v>
      </c>
    </row>
    <row r="254" spans="1:18" x14ac:dyDescent="0.25">
      <c r="A254">
        <v>60000253</v>
      </c>
      <c r="B254">
        <v>31</v>
      </c>
      <c r="C254" t="s">
        <v>85</v>
      </c>
      <c r="D254" t="s">
        <v>87</v>
      </c>
      <c r="E254" t="s">
        <v>97</v>
      </c>
      <c r="F254" t="s">
        <v>102</v>
      </c>
      <c r="G254">
        <v>19</v>
      </c>
      <c r="H254" t="s">
        <v>109</v>
      </c>
      <c r="I254" t="s">
        <v>146</v>
      </c>
      <c r="J254" t="s">
        <v>18</v>
      </c>
      <c r="K254" t="s">
        <v>68</v>
      </c>
      <c r="L254" t="s">
        <v>128</v>
      </c>
      <c r="M254" t="s">
        <v>129</v>
      </c>
      <c r="N254" t="s">
        <v>130</v>
      </c>
      <c r="O254" t="s">
        <v>129</v>
      </c>
      <c r="P254" t="s">
        <v>129</v>
      </c>
      <c r="Q254">
        <v>3</v>
      </c>
      <c r="R254">
        <v>38361</v>
      </c>
    </row>
    <row r="255" spans="1:18" x14ac:dyDescent="0.25">
      <c r="A255">
        <v>60000254</v>
      </c>
      <c r="B255">
        <v>51</v>
      </c>
      <c r="C255" t="s">
        <v>86</v>
      </c>
      <c r="D255" t="s">
        <v>87</v>
      </c>
      <c r="E255" t="s">
        <v>91</v>
      </c>
      <c r="F255" t="s">
        <v>102</v>
      </c>
      <c r="G255">
        <v>35</v>
      </c>
      <c r="H255" t="s">
        <v>111</v>
      </c>
      <c r="I255" t="s">
        <v>11</v>
      </c>
      <c r="J255" t="s">
        <v>23</v>
      </c>
      <c r="K255" t="s">
        <v>17</v>
      </c>
      <c r="L255" t="s">
        <v>128</v>
      </c>
      <c r="M255" t="s">
        <v>129</v>
      </c>
      <c r="N255" t="s">
        <v>129</v>
      </c>
      <c r="O255" t="s">
        <v>130</v>
      </c>
      <c r="P255" t="s">
        <v>130</v>
      </c>
      <c r="Q255">
        <v>0</v>
      </c>
      <c r="R255">
        <v>42979</v>
      </c>
    </row>
    <row r="256" spans="1:18" x14ac:dyDescent="0.25">
      <c r="A256">
        <v>60000255</v>
      </c>
      <c r="B256">
        <v>56</v>
      </c>
      <c r="C256" t="s">
        <v>85</v>
      </c>
      <c r="D256" t="s">
        <v>88</v>
      </c>
      <c r="E256" t="s">
        <v>95</v>
      </c>
      <c r="F256" t="s">
        <v>102</v>
      </c>
      <c r="G256">
        <v>36</v>
      </c>
      <c r="H256" t="s">
        <v>111</v>
      </c>
      <c r="I256" t="s">
        <v>141</v>
      </c>
      <c r="J256" t="s">
        <v>23</v>
      </c>
      <c r="K256" t="s">
        <v>35</v>
      </c>
      <c r="L256" t="s">
        <v>59</v>
      </c>
      <c r="M256" t="s">
        <v>129</v>
      </c>
      <c r="N256" t="s">
        <v>130</v>
      </c>
      <c r="O256" t="s">
        <v>129</v>
      </c>
      <c r="P256" t="s">
        <v>130</v>
      </c>
      <c r="Q256">
        <v>0</v>
      </c>
      <c r="R256">
        <v>55189</v>
      </c>
    </row>
    <row r="257" spans="1:18" x14ac:dyDescent="0.25">
      <c r="A257">
        <v>60000256</v>
      </c>
      <c r="B257">
        <v>21</v>
      </c>
      <c r="C257" t="s">
        <v>85</v>
      </c>
      <c r="D257" t="s">
        <v>87</v>
      </c>
      <c r="E257" t="s">
        <v>5</v>
      </c>
      <c r="F257" t="s">
        <v>102</v>
      </c>
      <c r="G257">
        <v>15</v>
      </c>
      <c r="H257" t="s">
        <v>132</v>
      </c>
      <c r="I257" t="s">
        <v>150</v>
      </c>
      <c r="J257" t="s">
        <v>16</v>
      </c>
      <c r="K257" t="s">
        <v>51</v>
      </c>
      <c r="L257" t="s">
        <v>10</v>
      </c>
      <c r="M257" t="s">
        <v>130</v>
      </c>
      <c r="N257" t="s">
        <v>130</v>
      </c>
      <c r="O257" t="s">
        <v>130</v>
      </c>
      <c r="P257" t="s">
        <v>130</v>
      </c>
      <c r="Q257">
        <v>0</v>
      </c>
      <c r="R257">
        <v>44547</v>
      </c>
    </row>
    <row r="258" spans="1:18" x14ac:dyDescent="0.25">
      <c r="A258">
        <v>60000257</v>
      </c>
      <c r="B258">
        <v>60</v>
      </c>
      <c r="C258" t="s">
        <v>86</v>
      </c>
      <c r="D258" t="s">
        <v>88</v>
      </c>
      <c r="E258" t="s">
        <v>100</v>
      </c>
      <c r="F258" t="s">
        <v>102</v>
      </c>
      <c r="G258">
        <v>21</v>
      </c>
      <c r="H258" t="s">
        <v>109</v>
      </c>
      <c r="I258" t="s">
        <v>147</v>
      </c>
      <c r="J258" t="s">
        <v>47</v>
      </c>
      <c r="K258" t="s">
        <v>31</v>
      </c>
      <c r="L258" t="s">
        <v>59</v>
      </c>
      <c r="M258" t="s">
        <v>129</v>
      </c>
      <c r="N258" t="s">
        <v>130</v>
      </c>
      <c r="O258" t="s">
        <v>130</v>
      </c>
      <c r="P258" t="s">
        <v>130</v>
      </c>
      <c r="Q258">
        <v>0</v>
      </c>
      <c r="R258">
        <v>36625</v>
      </c>
    </row>
    <row r="259" spans="1:18" x14ac:dyDescent="0.25">
      <c r="A259">
        <v>60000258</v>
      </c>
      <c r="B259">
        <v>47</v>
      </c>
      <c r="C259" t="s">
        <v>85</v>
      </c>
      <c r="D259" t="s">
        <v>87</v>
      </c>
      <c r="E259" t="s">
        <v>94</v>
      </c>
      <c r="F259" t="s">
        <v>102</v>
      </c>
      <c r="G259">
        <v>33</v>
      </c>
      <c r="H259" t="s">
        <v>111</v>
      </c>
      <c r="I259" t="s">
        <v>144</v>
      </c>
      <c r="J259" t="s">
        <v>53</v>
      </c>
      <c r="K259" t="s">
        <v>31</v>
      </c>
      <c r="L259" t="s">
        <v>10</v>
      </c>
      <c r="M259" t="s">
        <v>130</v>
      </c>
      <c r="N259" t="s">
        <v>129</v>
      </c>
      <c r="O259" t="s">
        <v>130</v>
      </c>
      <c r="P259" t="s">
        <v>129</v>
      </c>
      <c r="Q259">
        <v>4</v>
      </c>
      <c r="R259">
        <v>51401</v>
      </c>
    </row>
    <row r="260" spans="1:18" x14ac:dyDescent="0.25">
      <c r="A260">
        <v>60000259</v>
      </c>
      <c r="B260">
        <v>63</v>
      </c>
      <c r="C260" t="s">
        <v>86</v>
      </c>
      <c r="D260" t="s">
        <v>87</v>
      </c>
      <c r="E260" t="s">
        <v>96</v>
      </c>
      <c r="F260" t="s">
        <v>102</v>
      </c>
      <c r="G260">
        <v>12</v>
      </c>
      <c r="H260" t="s">
        <v>132</v>
      </c>
      <c r="I260" t="s">
        <v>140</v>
      </c>
      <c r="J260" t="s">
        <v>62</v>
      </c>
      <c r="K260" t="s">
        <v>61</v>
      </c>
      <c r="L260" t="s">
        <v>10</v>
      </c>
      <c r="M260" t="s">
        <v>130</v>
      </c>
      <c r="N260" t="s">
        <v>129</v>
      </c>
      <c r="O260" t="s">
        <v>129</v>
      </c>
      <c r="P260" t="s">
        <v>129</v>
      </c>
      <c r="Q260">
        <v>4</v>
      </c>
      <c r="R260">
        <v>43733</v>
      </c>
    </row>
    <row r="261" spans="1:18" x14ac:dyDescent="0.25">
      <c r="A261">
        <v>60000260</v>
      </c>
      <c r="B261">
        <v>53</v>
      </c>
      <c r="C261" t="s">
        <v>85</v>
      </c>
      <c r="D261" t="s">
        <v>87</v>
      </c>
      <c r="E261" t="s">
        <v>99</v>
      </c>
      <c r="F261" t="s">
        <v>102</v>
      </c>
      <c r="G261">
        <v>19</v>
      </c>
      <c r="H261" t="s">
        <v>109</v>
      </c>
      <c r="I261" t="s">
        <v>146</v>
      </c>
      <c r="J261" t="s">
        <v>14</v>
      </c>
      <c r="K261" t="s">
        <v>37</v>
      </c>
      <c r="L261" t="s">
        <v>59</v>
      </c>
      <c r="M261" t="s">
        <v>130</v>
      </c>
      <c r="N261" t="s">
        <v>130</v>
      </c>
      <c r="O261" t="s">
        <v>130</v>
      </c>
      <c r="P261" t="s">
        <v>129</v>
      </c>
      <c r="Q261">
        <v>0</v>
      </c>
      <c r="R261">
        <v>52142</v>
      </c>
    </row>
    <row r="262" spans="1:18" x14ac:dyDescent="0.25">
      <c r="A262">
        <v>60000261</v>
      </c>
      <c r="B262">
        <v>64</v>
      </c>
      <c r="C262" t="s">
        <v>86</v>
      </c>
      <c r="D262" t="s">
        <v>87</v>
      </c>
      <c r="E262" t="s">
        <v>96</v>
      </c>
      <c r="F262" t="s">
        <v>102</v>
      </c>
      <c r="G262">
        <v>25</v>
      </c>
      <c r="H262" t="s">
        <v>110</v>
      </c>
      <c r="I262" t="s">
        <v>142</v>
      </c>
      <c r="J262" t="s">
        <v>25</v>
      </c>
      <c r="K262" t="s">
        <v>39</v>
      </c>
      <c r="L262" t="s">
        <v>128</v>
      </c>
      <c r="M262" t="s">
        <v>129</v>
      </c>
      <c r="N262" t="s">
        <v>130</v>
      </c>
      <c r="O262" t="s">
        <v>130</v>
      </c>
      <c r="P262" t="s">
        <v>129</v>
      </c>
      <c r="Q262">
        <v>0</v>
      </c>
      <c r="R262">
        <v>68355</v>
      </c>
    </row>
    <row r="263" spans="1:18" x14ac:dyDescent="0.25">
      <c r="A263">
        <v>60000262</v>
      </c>
      <c r="B263">
        <v>63</v>
      </c>
      <c r="C263" t="s">
        <v>85</v>
      </c>
      <c r="D263" t="s">
        <v>87</v>
      </c>
      <c r="E263" t="s">
        <v>99</v>
      </c>
      <c r="F263" t="s">
        <v>102</v>
      </c>
      <c r="G263">
        <v>35</v>
      </c>
      <c r="H263" t="s">
        <v>111</v>
      </c>
      <c r="I263" t="s">
        <v>145</v>
      </c>
      <c r="J263" t="s">
        <v>21</v>
      </c>
      <c r="K263" t="s">
        <v>28</v>
      </c>
      <c r="L263" t="s">
        <v>128</v>
      </c>
      <c r="M263" t="s">
        <v>129</v>
      </c>
      <c r="N263" t="s">
        <v>130</v>
      </c>
      <c r="O263" t="s">
        <v>129</v>
      </c>
      <c r="P263" t="s">
        <v>129</v>
      </c>
      <c r="Q263">
        <v>6</v>
      </c>
      <c r="R263">
        <v>64273</v>
      </c>
    </row>
    <row r="264" spans="1:18" x14ac:dyDescent="0.25">
      <c r="A264">
        <v>60000263</v>
      </c>
      <c r="B264">
        <v>47</v>
      </c>
      <c r="C264" t="s">
        <v>86</v>
      </c>
      <c r="D264" t="s">
        <v>87</v>
      </c>
      <c r="E264" t="s">
        <v>98</v>
      </c>
      <c r="F264" t="s">
        <v>102</v>
      </c>
      <c r="G264">
        <v>23</v>
      </c>
      <c r="H264" t="s">
        <v>109</v>
      </c>
      <c r="I264" t="s">
        <v>143</v>
      </c>
      <c r="J264" t="s">
        <v>18</v>
      </c>
      <c r="K264" t="s">
        <v>70</v>
      </c>
      <c r="L264" t="s">
        <v>10</v>
      </c>
      <c r="M264" t="s">
        <v>129</v>
      </c>
      <c r="N264" t="s">
        <v>130</v>
      </c>
      <c r="O264" t="s">
        <v>129</v>
      </c>
      <c r="P264" t="s">
        <v>130</v>
      </c>
      <c r="Q264">
        <v>0</v>
      </c>
      <c r="R264">
        <v>73415</v>
      </c>
    </row>
    <row r="265" spans="1:18" x14ac:dyDescent="0.25">
      <c r="A265">
        <v>60000264</v>
      </c>
      <c r="B265">
        <v>62</v>
      </c>
      <c r="C265" t="s">
        <v>85</v>
      </c>
      <c r="D265" t="s">
        <v>88</v>
      </c>
      <c r="E265" t="s">
        <v>99</v>
      </c>
      <c r="F265" t="s">
        <v>102</v>
      </c>
      <c r="G265">
        <v>32</v>
      </c>
      <c r="H265" t="s">
        <v>111</v>
      </c>
      <c r="I265" t="s">
        <v>140</v>
      </c>
      <c r="J265" t="s">
        <v>53</v>
      </c>
      <c r="K265" t="s">
        <v>65</v>
      </c>
      <c r="L265" t="s">
        <v>59</v>
      </c>
      <c r="M265" t="s">
        <v>130</v>
      </c>
      <c r="N265" t="s">
        <v>130</v>
      </c>
      <c r="O265" t="s">
        <v>130</v>
      </c>
      <c r="P265" t="s">
        <v>129</v>
      </c>
      <c r="Q265">
        <v>7</v>
      </c>
      <c r="R265">
        <v>28009</v>
      </c>
    </row>
    <row r="266" spans="1:18" x14ac:dyDescent="0.25">
      <c r="A266">
        <v>60000265</v>
      </c>
      <c r="B266">
        <v>22</v>
      </c>
      <c r="C266" t="s">
        <v>85</v>
      </c>
      <c r="D266" t="s">
        <v>87</v>
      </c>
      <c r="E266" t="s">
        <v>5</v>
      </c>
      <c r="F266" t="s">
        <v>102</v>
      </c>
      <c r="G266">
        <v>32</v>
      </c>
      <c r="H266" t="s">
        <v>111</v>
      </c>
      <c r="I266" t="s">
        <v>143</v>
      </c>
      <c r="J266" t="s">
        <v>14</v>
      </c>
      <c r="K266" t="s">
        <v>41</v>
      </c>
      <c r="L266" t="s">
        <v>10</v>
      </c>
      <c r="M266" t="s">
        <v>129</v>
      </c>
      <c r="N266" t="s">
        <v>130</v>
      </c>
      <c r="O266" t="s">
        <v>130</v>
      </c>
      <c r="P266" t="s">
        <v>130</v>
      </c>
      <c r="Q266">
        <v>0</v>
      </c>
      <c r="R266">
        <v>50117</v>
      </c>
    </row>
    <row r="267" spans="1:18" x14ac:dyDescent="0.25">
      <c r="A267">
        <v>60000266</v>
      </c>
      <c r="B267">
        <v>55</v>
      </c>
      <c r="C267" t="s">
        <v>86</v>
      </c>
      <c r="D267" t="s">
        <v>88</v>
      </c>
      <c r="E267" t="s">
        <v>91</v>
      </c>
      <c r="F267" t="s">
        <v>102</v>
      </c>
      <c r="G267">
        <v>24</v>
      </c>
      <c r="H267" t="s">
        <v>109</v>
      </c>
      <c r="I267" t="s">
        <v>22</v>
      </c>
      <c r="J267" t="s">
        <v>9</v>
      </c>
      <c r="K267" t="s">
        <v>24</v>
      </c>
      <c r="L267" t="s">
        <v>59</v>
      </c>
      <c r="M267" t="s">
        <v>129</v>
      </c>
      <c r="N267" t="s">
        <v>129</v>
      </c>
      <c r="O267" t="s">
        <v>129</v>
      </c>
      <c r="P267" t="s">
        <v>129</v>
      </c>
      <c r="Q267">
        <v>5</v>
      </c>
      <c r="R267">
        <v>73685</v>
      </c>
    </row>
    <row r="268" spans="1:18" x14ac:dyDescent="0.25">
      <c r="A268">
        <v>60000267</v>
      </c>
      <c r="B268">
        <v>23</v>
      </c>
      <c r="C268" t="s">
        <v>85</v>
      </c>
      <c r="D268" t="s">
        <v>88</v>
      </c>
      <c r="E268" t="s">
        <v>91</v>
      </c>
      <c r="F268" t="s">
        <v>102</v>
      </c>
      <c r="G268">
        <v>19</v>
      </c>
      <c r="H268" t="s">
        <v>109</v>
      </c>
      <c r="I268" t="s">
        <v>22</v>
      </c>
      <c r="J268" t="s">
        <v>32</v>
      </c>
      <c r="K268" t="s">
        <v>57</v>
      </c>
      <c r="L268" t="s">
        <v>59</v>
      </c>
      <c r="M268" t="s">
        <v>129</v>
      </c>
      <c r="N268" t="s">
        <v>129</v>
      </c>
      <c r="O268" t="s">
        <v>129</v>
      </c>
      <c r="P268" t="s">
        <v>129</v>
      </c>
      <c r="Q268">
        <v>3</v>
      </c>
      <c r="R268">
        <v>75872</v>
      </c>
    </row>
    <row r="269" spans="1:18" x14ac:dyDescent="0.25">
      <c r="A269">
        <v>60000268</v>
      </c>
      <c r="B269">
        <v>20</v>
      </c>
      <c r="C269" t="s">
        <v>86</v>
      </c>
      <c r="D269" t="s">
        <v>87</v>
      </c>
      <c r="E269" t="s">
        <v>90</v>
      </c>
      <c r="F269" t="s">
        <v>102</v>
      </c>
      <c r="G269">
        <v>35</v>
      </c>
      <c r="H269" t="s">
        <v>111</v>
      </c>
      <c r="I269" t="s">
        <v>22</v>
      </c>
      <c r="J269" t="s">
        <v>23</v>
      </c>
      <c r="K269" t="s">
        <v>27</v>
      </c>
      <c r="L269" t="s">
        <v>10</v>
      </c>
      <c r="M269" t="s">
        <v>129</v>
      </c>
      <c r="N269" t="s">
        <v>130</v>
      </c>
      <c r="O269" t="s">
        <v>130</v>
      </c>
      <c r="P269" t="s">
        <v>130</v>
      </c>
      <c r="Q269">
        <v>0</v>
      </c>
      <c r="R269">
        <v>81531</v>
      </c>
    </row>
    <row r="270" spans="1:18" x14ac:dyDescent="0.25">
      <c r="A270">
        <v>60000269</v>
      </c>
      <c r="B270">
        <v>64</v>
      </c>
      <c r="C270" t="s">
        <v>86</v>
      </c>
      <c r="D270" t="s">
        <v>88</v>
      </c>
      <c r="E270" t="s">
        <v>93</v>
      </c>
      <c r="F270" t="s">
        <v>102</v>
      </c>
      <c r="G270">
        <v>34</v>
      </c>
      <c r="H270" t="s">
        <v>111</v>
      </c>
      <c r="I270" t="s">
        <v>146</v>
      </c>
      <c r="J270" t="s">
        <v>12</v>
      </c>
      <c r="K270" t="s">
        <v>61</v>
      </c>
      <c r="L270" t="s">
        <v>128</v>
      </c>
      <c r="M270" t="s">
        <v>130</v>
      </c>
      <c r="N270" t="s">
        <v>129</v>
      </c>
      <c r="O270" t="s">
        <v>130</v>
      </c>
      <c r="P270" t="s">
        <v>129</v>
      </c>
      <c r="Q270">
        <v>5</v>
      </c>
      <c r="R270">
        <v>74132</v>
      </c>
    </row>
    <row r="271" spans="1:18" x14ac:dyDescent="0.25">
      <c r="A271">
        <v>60000270</v>
      </c>
      <c r="B271">
        <v>27</v>
      </c>
      <c r="C271" t="s">
        <v>86</v>
      </c>
      <c r="D271" t="s">
        <v>87</v>
      </c>
      <c r="E271" t="s">
        <v>97</v>
      </c>
      <c r="F271" t="s">
        <v>102</v>
      </c>
      <c r="G271">
        <v>33</v>
      </c>
      <c r="H271" t="s">
        <v>111</v>
      </c>
      <c r="I271" t="s">
        <v>29</v>
      </c>
      <c r="J271" t="s">
        <v>12</v>
      </c>
      <c r="K271" t="s">
        <v>38</v>
      </c>
      <c r="L271" t="s">
        <v>128</v>
      </c>
      <c r="M271" t="s">
        <v>130</v>
      </c>
      <c r="N271" t="s">
        <v>130</v>
      </c>
      <c r="O271" t="s">
        <v>130</v>
      </c>
      <c r="P271" t="s">
        <v>129</v>
      </c>
      <c r="Q271">
        <v>1</v>
      </c>
      <c r="R271">
        <v>42932</v>
      </c>
    </row>
    <row r="272" spans="1:18" x14ac:dyDescent="0.25">
      <c r="A272">
        <v>60000271</v>
      </c>
      <c r="B272">
        <v>48</v>
      </c>
      <c r="C272" t="s">
        <v>86</v>
      </c>
      <c r="D272" t="s">
        <v>88</v>
      </c>
      <c r="E272" t="s">
        <v>90</v>
      </c>
      <c r="F272" t="s">
        <v>102</v>
      </c>
      <c r="G272">
        <v>16</v>
      </c>
      <c r="H272" t="s">
        <v>132</v>
      </c>
      <c r="I272" t="s">
        <v>50</v>
      </c>
      <c r="J272" t="s">
        <v>75</v>
      </c>
      <c r="K272" t="s">
        <v>65</v>
      </c>
      <c r="L272" t="s">
        <v>59</v>
      </c>
      <c r="M272" t="s">
        <v>129</v>
      </c>
      <c r="N272" t="s">
        <v>130</v>
      </c>
      <c r="O272" t="s">
        <v>129</v>
      </c>
      <c r="P272" t="s">
        <v>130</v>
      </c>
      <c r="Q272">
        <v>0</v>
      </c>
      <c r="R272">
        <v>62947</v>
      </c>
    </row>
    <row r="273" spans="1:18" x14ac:dyDescent="0.25">
      <c r="A273">
        <v>60000272</v>
      </c>
      <c r="B273">
        <v>41</v>
      </c>
      <c r="C273" t="s">
        <v>86</v>
      </c>
      <c r="D273" t="s">
        <v>87</v>
      </c>
      <c r="E273" t="s">
        <v>97</v>
      </c>
      <c r="F273" t="s">
        <v>102</v>
      </c>
      <c r="G273">
        <v>17</v>
      </c>
      <c r="H273" t="s">
        <v>132</v>
      </c>
      <c r="I273" t="s">
        <v>55</v>
      </c>
      <c r="J273" t="s">
        <v>47</v>
      </c>
      <c r="K273" t="s">
        <v>54</v>
      </c>
      <c r="L273" t="s">
        <v>10</v>
      </c>
      <c r="M273" t="s">
        <v>129</v>
      </c>
      <c r="N273" t="s">
        <v>130</v>
      </c>
      <c r="O273" t="s">
        <v>129</v>
      </c>
      <c r="P273" t="s">
        <v>130</v>
      </c>
      <c r="Q273">
        <v>0</v>
      </c>
      <c r="R273">
        <v>56032</v>
      </c>
    </row>
    <row r="274" spans="1:18" x14ac:dyDescent="0.25">
      <c r="A274">
        <v>60000273</v>
      </c>
      <c r="B274">
        <v>39</v>
      </c>
      <c r="C274" t="s">
        <v>86</v>
      </c>
      <c r="D274" t="s">
        <v>88</v>
      </c>
      <c r="E274" t="s">
        <v>97</v>
      </c>
      <c r="F274" t="s">
        <v>102</v>
      </c>
      <c r="G274">
        <v>21</v>
      </c>
      <c r="H274" t="s">
        <v>109</v>
      </c>
      <c r="I274" t="s">
        <v>145</v>
      </c>
      <c r="J274" t="s">
        <v>32</v>
      </c>
      <c r="K274" t="s">
        <v>69</v>
      </c>
      <c r="L274" t="s">
        <v>59</v>
      </c>
      <c r="M274" t="s">
        <v>130</v>
      </c>
      <c r="N274" t="s">
        <v>129</v>
      </c>
      <c r="O274" t="s">
        <v>129</v>
      </c>
      <c r="P274" t="s">
        <v>130</v>
      </c>
      <c r="Q274">
        <v>0</v>
      </c>
      <c r="R274">
        <v>67233</v>
      </c>
    </row>
    <row r="275" spans="1:18" x14ac:dyDescent="0.25">
      <c r="A275">
        <v>60000274</v>
      </c>
      <c r="B275">
        <v>51</v>
      </c>
      <c r="C275" t="s">
        <v>85</v>
      </c>
      <c r="D275" t="s">
        <v>88</v>
      </c>
      <c r="E275" t="s">
        <v>96</v>
      </c>
      <c r="F275" t="s">
        <v>102</v>
      </c>
      <c r="G275">
        <v>27</v>
      </c>
      <c r="H275" t="s">
        <v>110</v>
      </c>
      <c r="I275" t="s">
        <v>143</v>
      </c>
      <c r="J275" t="s">
        <v>62</v>
      </c>
      <c r="K275" t="s">
        <v>39</v>
      </c>
      <c r="L275" t="s">
        <v>10</v>
      </c>
      <c r="M275" t="s">
        <v>129</v>
      </c>
      <c r="N275" t="s">
        <v>129</v>
      </c>
      <c r="O275" t="s">
        <v>129</v>
      </c>
      <c r="P275" t="s">
        <v>129</v>
      </c>
      <c r="Q275">
        <v>6</v>
      </c>
      <c r="R275">
        <v>42157</v>
      </c>
    </row>
    <row r="276" spans="1:18" x14ac:dyDescent="0.25">
      <c r="A276">
        <v>60000275</v>
      </c>
      <c r="B276">
        <v>64</v>
      </c>
      <c r="C276" t="s">
        <v>86</v>
      </c>
      <c r="D276" t="s">
        <v>87</v>
      </c>
      <c r="E276" t="s">
        <v>94</v>
      </c>
      <c r="F276" t="s">
        <v>102</v>
      </c>
      <c r="G276">
        <v>35</v>
      </c>
      <c r="H276" t="s">
        <v>111</v>
      </c>
      <c r="I276" t="s">
        <v>144</v>
      </c>
      <c r="J276" t="s">
        <v>53</v>
      </c>
      <c r="K276" t="s">
        <v>26</v>
      </c>
      <c r="L276" t="s">
        <v>59</v>
      </c>
      <c r="M276" t="s">
        <v>130</v>
      </c>
      <c r="N276" t="s">
        <v>129</v>
      </c>
      <c r="O276" t="s">
        <v>130</v>
      </c>
      <c r="P276" t="s">
        <v>129</v>
      </c>
      <c r="Q276">
        <v>2</v>
      </c>
      <c r="R276">
        <v>80127</v>
      </c>
    </row>
    <row r="277" spans="1:18" x14ac:dyDescent="0.25">
      <c r="A277">
        <v>60000276</v>
      </c>
      <c r="B277">
        <v>61</v>
      </c>
      <c r="C277" t="s">
        <v>86</v>
      </c>
      <c r="D277" t="s">
        <v>87</v>
      </c>
      <c r="E277" t="s">
        <v>100</v>
      </c>
      <c r="F277" t="s">
        <v>102</v>
      </c>
      <c r="G277">
        <v>22</v>
      </c>
      <c r="H277" t="s">
        <v>109</v>
      </c>
      <c r="I277" t="s">
        <v>22</v>
      </c>
      <c r="J277" t="s">
        <v>9</v>
      </c>
      <c r="K277" t="s">
        <v>72</v>
      </c>
      <c r="L277" t="s">
        <v>59</v>
      </c>
      <c r="M277" t="s">
        <v>129</v>
      </c>
      <c r="N277" t="s">
        <v>129</v>
      </c>
      <c r="O277" t="s">
        <v>129</v>
      </c>
      <c r="P277" t="s">
        <v>129</v>
      </c>
      <c r="Q277">
        <v>5</v>
      </c>
      <c r="R277">
        <v>63859</v>
      </c>
    </row>
    <row r="278" spans="1:18" x14ac:dyDescent="0.25">
      <c r="A278">
        <v>60000277</v>
      </c>
      <c r="B278">
        <v>21</v>
      </c>
      <c r="C278" t="s">
        <v>86</v>
      </c>
      <c r="D278" t="s">
        <v>87</v>
      </c>
      <c r="E278" t="s">
        <v>99</v>
      </c>
      <c r="F278" t="s">
        <v>102</v>
      </c>
      <c r="G278">
        <v>19</v>
      </c>
      <c r="H278" t="s">
        <v>109</v>
      </c>
      <c r="I278" t="s">
        <v>22</v>
      </c>
      <c r="J278" t="s">
        <v>21</v>
      </c>
      <c r="K278" t="s">
        <v>37</v>
      </c>
      <c r="L278" t="s">
        <v>59</v>
      </c>
      <c r="M278" t="s">
        <v>130</v>
      </c>
      <c r="N278" t="s">
        <v>130</v>
      </c>
      <c r="O278" t="s">
        <v>129</v>
      </c>
      <c r="P278" t="s">
        <v>129</v>
      </c>
      <c r="Q278">
        <v>4</v>
      </c>
      <c r="R278">
        <v>56370</v>
      </c>
    </row>
    <row r="279" spans="1:18" x14ac:dyDescent="0.25">
      <c r="A279">
        <v>60000278</v>
      </c>
      <c r="B279">
        <v>62</v>
      </c>
      <c r="C279" t="s">
        <v>85</v>
      </c>
      <c r="D279" t="s">
        <v>88</v>
      </c>
      <c r="E279" t="s">
        <v>94</v>
      </c>
      <c r="F279" t="s">
        <v>102</v>
      </c>
      <c r="G279">
        <v>35</v>
      </c>
      <c r="H279" t="s">
        <v>111</v>
      </c>
      <c r="I279" t="s">
        <v>143</v>
      </c>
      <c r="J279" t="s">
        <v>21</v>
      </c>
      <c r="K279" t="s">
        <v>69</v>
      </c>
      <c r="L279" t="s">
        <v>10</v>
      </c>
      <c r="M279" t="s">
        <v>130</v>
      </c>
      <c r="N279" t="s">
        <v>129</v>
      </c>
      <c r="O279" t="s">
        <v>129</v>
      </c>
      <c r="P279" t="s">
        <v>129</v>
      </c>
      <c r="Q279">
        <v>4</v>
      </c>
      <c r="R279">
        <v>45869</v>
      </c>
    </row>
    <row r="280" spans="1:18" x14ac:dyDescent="0.25">
      <c r="A280">
        <v>60000279</v>
      </c>
      <c r="B280">
        <v>35</v>
      </c>
      <c r="C280" t="s">
        <v>86</v>
      </c>
      <c r="D280" t="s">
        <v>87</v>
      </c>
      <c r="E280" t="s">
        <v>90</v>
      </c>
      <c r="F280" t="s">
        <v>102</v>
      </c>
      <c r="G280">
        <v>28</v>
      </c>
      <c r="H280" t="s">
        <v>110</v>
      </c>
      <c r="I280" t="s">
        <v>150</v>
      </c>
      <c r="J280" t="s">
        <v>53</v>
      </c>
      <c r="K280" t="s">
        <v>45</v>
      </c>
      <c r="L280" t="s">
        <v>10</v>
      </c>
      <c r="M280" t="s">
        <v>130</v>
      </c>
      <c r="N280" t="s">
        <v>130</v>
      </c>
      <c r="O280" t="s">
        <v>129</v>
      </c>
      <c r="P280" t="s">
        <v>129</v>
      </c>
      <c r="Q280">
        <v>0</v>
      </c>
      <c r="R280">
        <v>61650</v>
      </c>
    </row>
    <row r="281" spans="1:18" x14ac:dyDescent="0.25">
      <c r="A281">
        <v>60000280</v>
      </c>
      <c r="B281">
        <v>33</v>
      </c>
      <c r="C281" t="s">
        <v>85</v>
      </c>
      <c r="D281" t="s">
        <v>88</v>
      </c>
      <c r="E281" t="s">
        <v>92</v>
      </c>
      <c r="F281" t="s">
        <v>102</v>
      </c>
      <c r="G281">
        <v>19</v>
      </c>
      <c r="H281" t="s">
        <v>109</v>
      </c>
      <c r="I281" t="s">
        <v>147</v>
      </c>
      <c r="J281" t="s">
        <v>62</v>
      </c>
      <c r="K281" t="s">
        <v>11</v>
      </c>
      <c r="L281" t="s">
        <v>10</v>
      </c>
      <c r="M281" t="s">
        <v>130</v>
      </c>
      <c r="N281" t="s">
        <v>129</v>
      </c>
      <c r="O281" t="s">
        <v>129</v>
      </c>
      <c r="P281" t="s">
        <v>130</v>
      </c>
      <c r="Q281">
        <v>0</v>
      </c>
      <c r="R281">
        <v>54763</v>
      </c>
    </row>
    <row r="282" spans="1:18" x14ac:dyDescent="0.25">
      <c r="A282">
        <v>60000281</v>
      </c>
      <c r="B282">
        <v>32</v>
      </c>
      <c r="C282" t="s">
        <v>85</v>
      </c>
      <c r="D282" t="s">
        <v>87</v>
      </c>
      <c r="E282" t="s">
        <v>5</v>
      </c>
      <c r="F282" t="s">
        <v>102</v>
      </c>
      <c r="G282">
        <v>14</v>
      </c>
      <c r="H282" t="s">
        <v>132</v>
      </c>
      <c r="I282" t="s">
        <v>29</v>
      </c>
      <c r="J282" t="s">
        <v>32</v>
      </c>
      <c r="K282" t="s">
        <v>36</v>
      </c>
      <c r="L282" t="s">
        <v>59</v>
      </c>
      <c r="M282" t="s">
        <v>129</v>
      </c>
      <c r="N282" t="s">
        <v>129</v>
      </c>
      <c r="O282" t="s">
        <v>130</v>
      </c>
      <c r="P282" t="s">
        <v>130</v>
      </c>
      <c r="Q282">
        <v>0</v>
      </c>
      <c r="R282">
        <v>84890</v>
      </c>
    </row>
    <row r="283" spans="1:18" x14ac:dyDescent="0.25">
      <c r="A283">
        <v>60000282</v>
      </c>
      <c r="B283">
        <v>54</v>
      </c>
      <c r="C283" t="s">
        <v>86</v>
      </c>
      <c r="D283" t="s">
        <v>87</v>
      </c>
      <c r="E283" t="s">
        <v>98</v>
      </c>
      <c r="F283" t="s">
        <v>102</v>
      </c>
      <c r="G283">
        <v>11</v>
      </c>
      <c r="H283" t="s">
        <v>108</v>
      </c>
      <c r="I283" t="s">
        <v>141</v>
      </c>
      <c r="J283" t="s">
        <v>25</v>
      </c>
      <c r="K283" t="s">
        <v>66</v>
      </c>
      <c r="L283" t="s">
        <v>59</v>
      </c>
      <c r="M283" t="s">
        <v>129</v>
      </c>
      <c r="N283" t="s">
        <v>129</v>
      </c>
      <c r="O283" t="s">
        <v>130</v>
      </c>
      <c r="P283" t="s">
        <v>129</v>
      </c>
      <c r="Q283">
        <v>6</v>
      </c>
      <c r="R283">
        <v>62574</v>
      </c>
    </row>
    <row r="284" spans="1:18" x14ac:dyDescent="0.25">
      <c r="A284">
        <v>60000283</v>
      </c>
      <c r="B284">
        <v>45</v>
      </c>
      <c r="C284" t="s">
        <v>85</v>
      </c>
      <c r="D284" t="s">
        <v>88</v>
      </c>
      <c r="E284" t="s">
        <v>97</v>
      </c>
      <c r="F284" t="s">
        <v>102</v>
      </c>
      <c r="G284">
        <v>37</v>
      </c>
      <c r="H284" t="s">
        <v>111</v>
      </c>
      <c r="I284" t="s">
        <v>147</v>
      </c>
      <c r="J284" t="s">
        <v>25</v>
      </c>
      <c r="K284" t="s">
        <v>74</v>
      </c>
      <c r="L284" t="s">
        <v>10</v>
      </c>
      <c r="M284" t="s">
        <v>129</v>
      </c>
      <c r="N284" t="s">
        <v>130</v>
      </c>
      <c r="O284" t="s">
        <v>129</v>
      </c>
      <c r="P284" t="s">
        <v>130</v>
      </c>
      <c r="Q284">
        <v>0</v>
      </c>
      <c r="R284">
        <v>25808</v>
      </c>
    </row>
    <row r="285" spans="1:18" x14ac:dyDescent="0.25">
      <c r="A285">
        <v>60000284</v>
      </c>
      <c r="B285">
        <v>44</v>
      </c>
      <c r="C285" t="s">
        <v>85</v>
      </c>
      <c r="D285" t="s">
        <v>88</v>
      </c>
      <c r="E285" t="s">
        <v>93</v>
      </c>
      <c r="F285" t="s">
        <v>102</v>
      </c>
      <c r="G285">
        <v>16</v>
      </c>
      <c r="H285" t="s">
        <v>132</v>
      </c>
      <c r="I285" t="s">
        <v>147</v>
      </c>
      <c r="J285" t="s">
        <v>62</v>
      </c>
      <c r="K285" t="s">
        <v>49</v>
      </c>
      <c r="L285" t="s">
        <v>59</v>
      </c>
      <c r="M285" t="s">
        <v>130</v>
      </c>
      <c r="N285" t="s">
        <v>129</v>
      </c>
      <c r="O285" t="s">
        <v>130</v>
      </c>
      <c r="P285" t="s">
        <v>130</v>
      </c>
      <c r="Q285">
        <v>0</v>
      </c>
      <c r="R285">
        <v>40642</v>
      </c>
    </row>
    <row r="286" spans="1:18" x14ac:dyDescent="0.25">
      <c r="A286">
        <v>60000285</v>
      </c>
      <c r="B286">
        <v>37</v>
      </c>
      <c r="C286" t="s">
        <v>86</v>
      </c>
      <c r="D286" t="s">
        <v>87</v>
      </c>
      <c r="E286" t="s">
        <v>92</v>
      </c>
      <c r="F286" t="s">
        <v>102</v>
      </c>
      <c r="G286">
        <v>19</v>
      </c>
      <c r="H286" t="s">
        <v>109</v>
      </c>
      <c r="I286" t="s">
        <v>146</v>
      </c>
      <c r="J286" t="s">
        <v>9</v>
      </c>
      <c r="K286" t="s">
        <v>46</v>
      </c>
      <c r="L286" t="s">
        <v>10</v>
      </c>
      <c r="M286" t="s">
        <v>129</v>
      </c>
      <c r="N286" t="s">
        <v>130</v>
      </c>
      <c r="O286" t="s">
        <v>130</v>
      </c>
      <c r="P286" t="s">
        <v>130</v>
      </c>
      <c r="Q286">
        <v>0</v>
      </c>
      <c r="R286">
        <v>79634</v>
      </c>
    </row>
    <row r="287" spans="1:18" x14ac:dyDescent="0.25">
      <c r="A287">
        <v>60000286</v>
      </c>
      <c r="B287">
        <v>54</v>
      </c>
      <c r="C287" t="s">
        <v>86</v>
      </c>
      <c r="D287" t="s">
        <v>87</v>
      </c>
      <c r="E287" t="s">
        <v>95</v>
      </c>
      <c r="F287" t="s">
        <v>102</v>
      </c>
      <c r="G287">
        <v>25</v>
      </c>
      <c r="H287" t="s">
        <v>110</v>
      </c>
      <c r="I287" t="s">
        <v>141</v>
      </c>
      <c r="J287" t="s">
        <v>18</v>
      </c>
      <c r="K287" t="s">
        <v>37</v>
      </c>
      <c r="L287" t="s">
        <v>10</v>
      </c>
      <c r="M287" t="s">
        <v>130</v>
      </c>
      <c r="N287" t="s">
        <v>129</v>
      </c>
      <c r="O287" t="s">
        <v>129</v>
      </c>
      <c r="P287" t="s">
        <v>129</v>
      </c>
      <c r="Q287">
        <v>7</v>
      </c>
      <c r="R287">
        <v>45068</v>
      </c>
    </row>
    <row r="288" spans="1:18" x14ac:dyDescent="0.25">
      <c r="A288">
        <v>60000287</v>
      </c>
      <c r="B288">
        <v>60</v>
      </c>
      <c r="C288" t="s">
        <v>86</v>
      </c>
      <c r="D288" t="s">
        <v>87</v>
      </c>
      <c r="E288" t="s">
        <v>92</v>
      </c>
      <c r="F288" t="s">
        <v>102</v>
      </c>
      <c r="G288">
        <v>21</v>
      </c>
      <c r="H288" t="s">
        <v>109</v>
      </c>
      <c r="I288" t="s">
        <v>149</v>
      </c>
      <c r="J288" t="s">
        <v>32</v>
      </c>
      <c r="K288" t="s">
        <v>30</v>
      </c>
      <c r="L288" t="s">
        <v>10</v>
      </c>
      <c r="M288" t="s">
        <v>129</v>
      </c>
      <c r="N288" t="s">
        <v>130</v>
      </c>
      <c r="O288" t="s">
        <v>129</v>
      </c>
      <c r="P288" t="s">
        <v>130</v>
      </c>
      <c r="Q288">
        <v>0</v>
      </c>
      <c r="R288">
        <v>71844</v>
      </c>
    </row>
    <row r="289" spans="1:18" x14ac:dyDescent="0.25">
      <c r="A289">
        <v>60000288</v>
      </c>
      <c r="B289">
        <v>27</v>
      </c>
      <c r="C289" t="s">
        <v>85</v>
      </c>
      <c r="D289" t="s">
        <v>88</v>
      </c>
      <c r="E289" t="s">
        <v>91</v>
      </c>
      <c r="F289" t="s">
        <v>102</v>
      </c>
      <c r="G289">
        <v>27</v>
      </c>
      <c r="H289" t="s">
        <v>110</v>
      </c>
      <c r="I289" t="s">
        <v>149</v>
      </c>
      <c r="J289" t="s">
        <v>14</v>
      </c>
      <c r="K289" t="s">
        <v>49</v>
      </c>
      <c r="L289" t="s">
        <v>59</v>
      </c>
      <c r="M289" t="s">
        <v>129</v>
      </c>
      <c r="N289" t="s">
        <v>130</v>
      </c>
      <c r="O289" t="s">
        <v>129</v>
      </c>
      <c r="P289" t="s">
        <v>130</v>
      </c>
      <c r="Q289">
        <v>0</v>
      </c>
      <c r="R289">
        <v>23846</v>
      </c>
    </row>
    <row r="290" spans="1:18" x14ac:dyDescent="0.25">
      <c r="A290">
        <v>60000289</v>
      </c>
      <c r="B290">
        <v>58</v>
      </c>
      <c r="C290" t="s">
        <v>85</v>
      </c>
      <c r="D290" t="s">
        <v>87</v>
      </c>
      <c r="E290" t="s">
        <v>91</v>
      </c>
      <c r="F290" t="s">
        <v>102</v>
      </c>
      <c r="G290">
        <v>28</v>
      </c>
      <c r="H290" t="s">
        <v>110</v>
      </c>
      <c r="I290" t="s">
        <v>22</v>
      </c>
      <c r="J290" t="s">
        <v>47</v>
      </c>
      <c r="K290" t="s">
        <v>35</v>
      </c>
      <c r="L290" t="s">
        <v>59</v>
      </c>
      <c r="M290" t="s">
        <v>130</v>
      </c>
      <c r="N290" t="s">
        <v>129</v>
      </c>
      <c r="O290" t="s">
        <v>129</v>
      </c>
      <c r="P290" t="s">
        <v>130</v>
      </c>
      <c r="Q290">
        <v>0</v>
      </c>
      <c r="R290">
        <v>68805</v>
      </c>
    </row>
    <row r="291" spans="1:18" x14ac:dyDescent="0.25">
      <c r="A291">
        <v>60000290</v>
      </c>
      <c r="B291">
        <v>45</v>
      </c>
      <c r="C291" t="s">
        <v>86</v>
      </c>
      <c r="D291" t="s">
        <v>88</v>
      </c>
      <c r="E291" t="s">
        <v>98</v>
      </c>
      <c r="F291" t="s">
        <v>102</v>
      </c>
      <c r="G291">
        <v>30</v>
      </c>
      <c r="H291" t="s">
        <v>110</v>
      </c>
      <c r="I291" t="s">
        <v>139</v>
      </c>
      <c r="J291" t="s">
        <v>75</v>
      </c>
      <c r="K291" t="s">
        <v>74</v>
      </c>
      <c r="L291" t="s">
        <v>128</v>
      </c>
      <c r="M291" t="s">
        <v>130</v>
      </c>
      <c r="N291" t="s">
        <v>130</v>
      </c>
      <c r="O291" t="s">
        <v>129</v>
      </c>
      <c r="P291" t="s">
        <v>129</v>
      </c>
      <c r="Q291">
        <v>6</v>
      </c>
      <c r="R291">
        <v>79400</v>
      </c>
    </row>
    <row r="292" spans="1:18" x14ac:dyDescent="0.25">
      <c r="A292">
        <v>60000291</v>
      </c>
      <c r="B292">
        <v>58</v>
      </c>
      <c r="C292" t="s">
        <v>85</v>
      </c>
      <c r="D292" t="s">
        <v>87</v>
      </c>
      <c r="E292" t="s">
        <v>90</v>
      </c>
      <c r="F292" t="s">
        <v>102</v>
      </c>
      <c r="G292">
        <v>36</v>
      </c>
      <c r="H292" t="s">
        <v>111</v>
      </c>
      <c r="I292" t="s">
        <v>139</v>
      </c>
      <c r="J292" t="s">
        <v>53</v>
      </c>
      <c r="K292" t="s">
        <v>40</v>
      </c>
      <c r="L292" t="s">
        <v>59</v>
      </c>
      <c r="M292" t="s">
        <v>129</v>
      </c>
      <c r="N292" t="s">
        <v>130</v>
      </c>
      <c r="O292" t="s">
        <v>130</v>
      </c>
      <c r="P292" t="s">
        <v>129</v>
      </c>
      <c r="Q292">
        <v>3</v>
      </c>
      <c r="R292">
        <v>65258</v>
      </c>
    </row>
    <row r="293" spans="1:18" x14ac:dyDescent="0.25">
      <c r="A293">
        <v>60000292</v>
      </c>
      <c r="B293">
        <v>35</v>
      </c>
      <c r="C293" t="s">
        <v>85</v>
      </c>
      <c r="D293" t="s">
        <v>87</v>
      </c>
      <c r="E293" t="s">
        <v>96</v>
      </c>
      <c r="F293" t="s">
        <v>102</v>
      </c>
      <c r="G293">
        <v>13</v>
      </c>
      <c r="H293" t="s">
        <v>132</v>
      </c>
      <c r="I293" t="s">
        <v>141</v>
      </c>
      <c r="J293" t="s">
        <v>18</v>
      </c>
      <c r="K293" t="s">
        <v>37</v>
      </c>
      <c r="L293" t="s">
        <v>128</v>
      </c>
      <c r="M293" t="s">
        <v>130</v>
      </c>
      <c r="N293" t="s">
        <v>129</v>
      </c>
      <c r="O293" t="s">
        <v>130</v>
      </c>
      <c r="P293" t="s">
        <v>129</v>
      </c>
      <c r="Q293">
        <v>7</v>
      </c>
      <c r="R293">
        <v>79127</v>
      </c>
    </row>
    <row r="294" spans="1:18" x14ac:dyDescent="0.25">
      <c r="A294">
        <v>60000293</v>
      </c>
      <c r="B294">
        <v>40</v>
      </c>
      <c r="C294" t="s">
        <v>85</v>
      </c>
      <c r="D294" t="s">
        <v>88</v>
      </c>
      <c r="E294" t="s">
        <v>5</v>
      </c>
      <c r="F294" t="s">
        <v>102</v>
      </c>
      <c r="G294">
        <v>27</v>
      </c>
      <c r="H294" t="s">
        <v>110</v>
      </c>
      <c r="I294" t="s">
        <v>149</v>
      </c>
      <c r="J294" t="s">
        <v>12</v>
      </c>
      <c r="K294" t="s">
        <v>19</v>
      </c>
      <c r="L294" t="s">
        <v>10</v>
      </c>
      <c r="M294" t="s">
        <v>129</v>
      </c>
      <c r="N294" t="s">
        <v>130</v>
      </c>
      <c r="O294" t="s">
        <v>129</v>
      </c>
      <c r="P294" t="s">
        <v>130</v>
      </c>
      <c r="Q294">
        <v>0</v>
      </c>
      <c r="R294">
        <v>54971</v>
      </c>
    </row>
    <row r="295" spans="1:18" x14ac:dyDescent="0.25">
      <c r="A295">
        <v>60000294</v>
      </c>
      <c r="B295">
        <v>48</v>
      </c>
      <c r="C295" t="s">
        <v>86</v>
      </c>
      <c r="D295" t="s">
        <v>87</v>
      </c>
      <c r="E295" t="s">
        <v>96</v>
      </c>
      <c r="F295" t="s">
        <v>102</v>
      </c>
      <c r="G295">
        <v>27</v>
      </c>
      <c r="H295" t="s">
        <v>110</v>
      </c>
      <c r="I295" t="s">
        <v>11</v>
      </c>
      <c r="J295" t="s">
        <v>12</v>
      </c>
      <c r="K295" t="s">
        <v>54</v>
      </c>
      <c r="L295" t="s">
        <v>128</v>
      </c>
      <c r="M295" t="s">
        <v>130</v>
      </c>
      <c r="N295" t="s">
        <v>129</v>
      </c>
      <c r="O295" t="s">
        <v>129</v>
      </c>
      <c r="P295" t="s">
        <v>130</v>
      </c>
      <c r="Q295">
        <v>0</v>
      </c>
      <c r="R295">
        <v>35141</v>
      </c>
    </row>
    <row r="296" spans="1:18" x14ac:dyDescent="0.25">
      <c r="A296">
        <v>60000295</v>
      </c>
      <c r="B296">
        <v>56</v>
      </c>
      <c r="C296" t="s">
        <v>86</v>
      </c>
      <c r="D296" t="s">
        <v>88</v>
      </c>
      <c r="E296" t="s">
        <v>5</v>
      </c>
      <c r="F296" t="s">
        <v>102</v>
      </c>
      <c r="G296">
        <v>27</v>
      </c>
      <c r="H296" t="s">
        <v>110</v>
      </c>
      <c r="I296" t="s">
        <v>50</v>
      </c>
      <c r="J296" t="s">
        <v>62</v>
      </c>
      <c r="K296" t="s">
        <v>38</v>
      </c>
      <c r="L296" t="s">
        <v>128</v>
      </c>
      <c r="M296" t="s">
        <v>130</v>
      </c>
      <c r="N296" t="s">
        <v>130</v>
      </c>
      <c r="O296" t="s">
        <v>129</v>
      </c>
      <c r="P296" t="s">
        <v>130</v>
      </c>
      <c r="Q296">
        <v>0</v>
      </c>
      <c r="R296">
        <v>31060</v>
      </c>
    </row>
    <row r="297" spans="1:18" x14ac:dyDescent="0.25">
      <c r="A297">
        <v>60000296</v>
      </c>
      <c r="B297">
        <v>36</v>
      </c>
      <c r="C297" t="s">
        <v>85</v>
      </c>
      <c r="D297" t="s">
        <v>88</v>
      </c>
      <c r="E297" t="s">
        <v>91</v>
      </c>
      <c r="F297" t="s">
        <v>102</v>
      </c>
      <c r="G297">
        <v>13</v>
      </c>
      <c r="H297" t="s">
        <v>132</v>
      </c>
      <c r="I297" t="s">
        <v>11</v>
      </c>
      <c r="J297" t="s">
        <v>53</v>
      </c>
      <c r="K297" t="s">
        <v>27</v>
      </c>
      <c r="L297" t="s">
        <v>59</v>
      </c>
      <c r="M297" t="s">
        <v>129</v>
      </c>
      <c r="N297" t="s">
        <v>130</v>
      </c>
      <c r="O297" t="s">
        <v>129</v>
      </c>
      <c r="P297" t="s">
        <v>129</v>
      </c>
      <c r="Q297">
        <v>0</v>
      </c>
      <c r="R297">
        <v>66888</v>
      </c>
    </row>
    <row r="298" spans="1:18" x14ac:dyDescent="0.25">
      <c r="A298">
        <v>60000297</v>
      </c>
      <c r="B298">
        <v>40</v>
      </c>
      <c r="C298" t="s">
        <v>86</v>
      </c>
      <c r="D298" t="s">
        <v>88</v>
      </c>
      <c r="E298" t="s">
        <v>91</v>
      </c>
      <c r="F298" t="s">
        <v>102</v>
      </c>
      <c r="G298">
        <v>16</v>
      </c>
      <c r="H298" t="s">
        <v>132</v>
      </c>
      <c r="I298" t="s">
        <v>148</v>
      </c>
      <c r="J298" t="s">
        <v>21</v>
      </c>
      <c r="K298" t="s">
        <v>70</v>
      </c>
      <c r="L298" t="s">
        <v>59</v>
      </c>
      <c r="M298" t="s">
        <v>130</v>
      </c>
      <c r="N298" t="s">
        <v>129</v>
      </c>
      <c r="O298" t="s">
        <v>130</v>
      </c>
      <c r="P298" t="s">
        <v>130</v>
      </c>
      <c r="Q298">
        <v>0</v>
      </c>
      <c r="R298">
        <v>31251</v>
      </c>
    </row>
    <row r="299" spans="1:18" x14ac:dyDescent="0.25">
      <c r="A299">
        <v>60000298</v>
      </c>
      <c r="B299">
        <v>49</v>
      </c>
      <c r="C299" t="s">
        <v>85</v>
      </c>
      <c r="D299" t="s">
        <v>87</v>
      </c>
      <c r="E299" t="s">
        <v>94</v>
      </c>
      <c r="F299" t="s">
        <v>102</v>
      </c>
      <c r="G299">
        <v>32</v>
      </c>
      <c r="H299" t="s">
        <v>111</v>
      </c>
      <c r="I299" t="s">
        <v>50</v>
      </c>
      <c r="J299" t="s">
        <v>9</v>
      </c>
      <c r="K299" t="s">
        <v>52</v>
      </c>
      <c r="L299" t="s">
        <v>59</v>
      </c>
      <c r="M299" t="s">
        <v>129</v>
      </c>
      <c r="N299" t="s">
        <v>130</v>
      </c>
      <c r="O299" t="s">
        <v>130</v>
      </c>
      <c r="P299" t="s">
        <v>129</v>
      </c>
      <c r="Q299">
        <v>5</v>
      </c>
      <c r="R299">
        <v>71949</v>
      </c>
    </row>
    <row r="300" spans="1:18" x14ac:dyDescent="0.25">
      <c r="A300">
        <v>60000299</v>
      </c>
      <c r="B300">
        <v>47</v>
      </c>
      <c r="C300" t="s">
        <v>85</v>
      </c>
      <c r="D300" t="s">
        <v>87</v>
      </c>
      <c r="E300" t="s">
        <v>5</v>
      </c>
      <c r="F300" t="s">
        <v>102</v>
      </c>
      <c r="G300">
        <v>10</v>
      </c>
      <c r="H300" t="s">
        <v>108</v>
      </c>
      <c r="I300" t="s">
        <v>147</v>
      </c>
      <c r="J300" t="s">
        <v>18</v>
      </c>
      <c r="K300" t="s">
        <v>48</v>
      </c>
      <c r="L300" t="s">
        <v>128</v>
      </c>
      <c r="M300" t="s">
        <v>130</v>
      </c>
      <c r="N300" t="s">
        <v>129</v>
      </c>
      <c r="O300" t="s">
        <v>129</v>
      </c>
      <c r="P300" t="s">
        <v>129</v>
      </c>
      <c r="Q300">
        <v>3</v>
      </c>
      <c r="R300">
        <v>78768</v>
      </c>
    </row>
    <row r="301" spans="1:18" x14ac:dyDescent="0.25">
      <c r="A301">
        <v>60000300</v>
      </c>
      <c r="B301">
        <v>27</v>
      </c>
      <c r="C301" t="s">
        <v>86</v>
      </c>
      <c r="D301" t="s">
        <v>88</v>
      </c>
      <c r="E301" t="s">
        <v>97</v>
      </c>
      <c r="F301" t="s">
        <v>102</v>
      </c>
      <c r="G301">
        <v>29</v>
      </c>
      <c r="H301" t="s">
        <v>110</v>
      </c>
      <c r="I301" t="s">
        <v>150</v>
      </c>
      <c r="J301" t="s">
        <v>14</v>
      </c>
      <c r="K301" t="s">
        <v>64</v>
      </c>
      <c r="L301" t="s">
        <v>59</v>
      </c>
      <c r="M301" t="s">
        <v>129</v>
      </c>
      <c r="N301" t="s">
        <v>129</v>
      </c>
      <c r="O301" t="s">
        <v>130</v>
      </c>
      <c r="P301" t="s">
        <v>130</v>
      </c>
      <c r="Q301">
        <v>0</v>
      </c>
      <c r="R301">
        <v>66516</v>
      </c>
    </row>
    <row r="302" spans="1:18" x14ac:dyDescent="0.25">
      <c r="A302">
        <v>60000301</v>
      </c>
      <c r="B302">
        <v>64</v>
      </c>
      <c r="C302" t="s">
        <v>85</v>
      </c>
      <c r="D302" t="s">
        <v>87</v>
      </c>
      <c r="E302" t="s">
        <v>5</v>
      </c>
      <c r="F302" t="s">
        <v>102</v>
      </c>
      <c r="G302">
        <v>25</v>
      </c>
      <c r="H302" t="s">
        <v>110</v>
      </c>
      <c r="I302" t="s">
        <v>146</v>
      </c>
      <c r="J302" t="s">
        <v>18</v>
      </c>
      <c r="K302" t="s">
        <v>72</v>
      </c>
      <c r="L302" t="s">
        <v>10</v>
      </c>
      <c r="M302" t="s">
        <v>130</v>
      </c>
      <c r="N302" t="s">
        <v>129</v>
      </c>
      <c r="O302" t="s">
        <v>130</v>
      </c>
      <c r="P302" t="s">
        <v>130</v>
      </c>
      <c r="Q302">
        <v>0</v>
      </c>
      <c r="R302">
        <v>80286</v>
      </c>
    </row>
    <row r="303" spans="1:18" x14ac:dyDescent="0.25">
      <c r="A303">
        <v>60000302</v>
      </c>
      <c r="B303">
        <v>49</v>
      </c>
      <c r="C303" t="s">
        <v>86</v>
      </c>
      <c r="D303" t="s">
        <v>87</v>
      </c>
      <c r="E303" t="s">
        <v>98</v>
      </c>
      <c r="F303" t="s">
        <v>102</v>
      </c>
      <c r="G303">
        <v>36</v>
      </c>
      <c r="H303" t="s">
        <v>111</v>
      </c>
      <c r="I303" t="s">
        <v>146</v>
      </c>
      <c r="J303" t="s">
        <v>12</v>
      </c>
      <c r="K303" t="s">
        <v>61</v>
      </c>
      <c r="L303" t="s">
        <v>128</v>
      </c>
      <c r="M303" t="s">
        <v>130</v>
      </c>
      <c r="N303" t="s">
        <v>129</v>
      </c>
      <c r="O303" t="s">
        <v>130</v>
      </c>
      <c r="P303" t="s">
        <v>129</v>
      </c>
      <c r="Q303">
        <v>7</v>
      </c>
      <c r="R303">
        <v>27132</v>
      </c>
    </row>
    <row r="304" spans="1:18" x14ac:dyDescent="0.25">
      <c r="A304">
        <v>60000303</v>
      </c>
      <c r="B304">
        <v>45</v>
      </c>
      <c r="C304" t="s">
        <v>85</v>
      </c>
      <c r="D304" t="s">
        <v>88</v>
      </c>
      <c r="E304" t="s">
        <v>99</v>
      </c>
      <c r="F304" t="s">
        <v>102</v>
      </c>
      <c r="G304">
        <v>31</v>
      </c>
      <c r="H304" t="s">
        <v>110</v>
      </c>
      <c r="I304" t="s">
        <v>147</v>
      </c>
      <c r="J304" t="s">
        <v>62</v>
      </c>
      <c r="K304" t="s">
        <v>60</v>
      </c>
      <c r="L304" t="s">
        <v>59</v>
      </c>
      <c r="M304" t="s">
        <v>130</v>
      </c>
      <c r="N304" t="s">
        <v>129</v>
      </c>
      <c r="O304" t="s">
        <v>129</v>
      </c>
      <c r="P304" t="s">
        <v>129</v>
      </c>
      <c r="Q304">
        <v>5</v>
      </c>
      <c r="R304">
        <v>47731</v>
      </c>
    </row>
    <row r="305" spans="1:18" x14ac:dyDescent="0.25">
      <c r="A305">
        <v>60000304</v>
      </c>
      <c r="B305">
        <v>46</v>
      </c>
      <c r="C305" t="s">
        <v>85</v>
      </c>
      <c r="D305" t="s">
        <v>87</v>
      </c>
      <c r="E305" t="s">
        <v>99</v>
      </c>
      <c r="F305" t="s">
        <v>102</v>
      </c>
      <c r="G305">
        <v>33</v>
      </c>
      <c r="H305" t="s">
        <v>111</v>
      </c>
      <c r="I305" t="s">
        <v>140</v>
      </c>
      <c r="J305" t="s">
        <v>18</v>
      </c>
      <c r="K305" t="s">
        <v>46</v>
      </c>
      <c r="L305" t="s">
        <v>59</v>
      </c>
      <c r="M305" t="s">
        <v>130</v>
      </c>
      <c r="N305" t="s">
        <v>129</v>
      </c>
      <c r="O305" t="s">
        <v>129</v>
      </c>
      <c r="P305" t="s">
        <v>129</v>
      </c>
      <c r="Q305">
        <v>0</v>
      </c>
      <c r="R305">
        <v>36561</v>
      </c>
    </row>
    <row r="306" spans="1:18" x14ac:dyDescent="0.25">
      <c r="A306">
        <v>60000305</v>
      </c>
      <c r="B306">
        <v>55</v>
      </c>
      <c r="C306" t="s">
        <v>86</v>
      </c>
      <c r="D306" t="s">
        <v>87</v>
      </c>
      <c r="E306" t="s">
        <v>95</v>
      </c>
      <c r="F306" t="s">
        <v>102</v>
      </c>
      <c r="G306">
        <v>26</v>
      </c>
      <c r="H306" t="s">
        <v>110</v>
      </c>
      <c r="I306" t="s">
        <v>141</v>
      </c>
      <c r="J306" t="s">
        <v>32</v>
      </c>
      <c r="K306" t="s">
        <v>20</v>
      </c>
      <c r="L306" t="s">
        <v>128</v>
      </c>
      <c r="M306" t="s">
        <v>130</v>
      </c>
      <c r="N306" t="s">
        <v>129</v>
      </c>
      <c r="O306" t="s">
        <v>130</v>
      </c>
      <c r="P306" t="s">
        <v>130</v>
      </c>
      <c r="Q306">
        <v>0</v>
      </c>
      <c r="R306">
        <v>67604</v>
      </c>
    </row>
    <row r="307" spans="1:18" x14ac:dyDescent="0.25">
      <c r="A307">
        <v>60000306</v>
      </c>
      <c r="B307">
        <v>33</v>
      </c>
      <c r="C307" t="s">
        <v>86</v>
      </c>
      <c r="D307" t="s">
        <v>88</v>
      </c>
      <c r="E307" t="s">
        <v>92</v>
      </c>
      <c r="F307" t="s">
        <v>102</v>
      </c>
      <c r="G307">
        <v>13</v>
      </c>
      <c r="H307" t="s">
        <v>132</v>
      </c>
      <c r="I307" t="s">
        <v>142</v>
      </c>
      <c r="J307" t="s">
        <v>14</v>
      </c>
      <c r="K307" t="s">
        <v>65</v>
      </c>
      <c r="L307" t="s">
        <v>10</v>
      </c>
      <c r="M307" t="s">
        <v>130</v>
      </c>
      <c r="N307" t="s">
        <v>129</v>
      </c>
      <c r="O307" t="s">
        <v>130</v>
      </c>
      <c r="P307" t="s">
        <v>129</v>
      </c>
      <c r="Q307">
        <v>3</v>
      </c>
      <c r="R307">
        <v>65598</v>
      </c>
    </row>
    <row r="308" spans="1:18" x14ac:dyDescent="0.25">
      <c r="A308">
        <v>60000307</v>
      </c>
      <c r="B308">
        <v>59</v>
      </c>
      <c r="C308" t="s">
        <v>85</v>
      </c>
      <c r="D308" t="s">
        <v>87</v>
      </c>
      <c r="E308" t="s">
        <v>90</v>
      </c>
      <c r="F308" t="s">
        <v>102</v>
      </c>
      <c r="G308">
        <v>17</v>
      </c>
      <c r="H308" t="s">
        <v>132</v>
      </c>
      <c r="I308" t="s">
        <v>29</v>
      </c>
      <c r="J308" t="s">
        <v>75</v>
      </c>
      <c r="K308" t="s">
        <v>26</v>
      </c>
      <c r="L308" t="s">
        <v>10</v>
      </c>
      <c r="M308" t="s">
        <v>129</v>
      </c>
      <c r="N308" t="s">
        <v>130</v>
      </c>
      <c r="O308" t="s">
        <v>129</v>
      </c>
      <c r="P308" t="s">
        <v>129</v>
      </c>
      <c r="Q308">
        <v>0</v>
      </c>
      <c r="R308">
        <v>34810</v>
      </c>
    </row>
    <row r="309" spans="1:18" x14ac:dyDescent="0.25">
      <c r="A309">
        <v>60000308</v>
      </c>
      <c r="B309">
        <v>65</v>
      </c>
      <c r="C309" t="s">
        <v>85</v>
      </c>
      <c r="D309" t="s">
        <v>88</v>
      </c>
      <c r="E309" t="s">
        <v>90</v>
      </c>
      <c r="F309" t="s">
        <v>102</v>
      </c>
      <c r="G309">
        <v>32</v>
      </c>
      <c r="H309" t="s">
        <v>111</v>
      </c>
      <c r="I309" t="s">
        <v>50</v>
      </c>
      <c r="J309" t="s">
        <v>53</v>
      </c>
      <c r="K309" t="s">
        <v>46</v>
      </c>
      <c r="L309" t="s">
        <v>59</v>
      </c>
      <c r="M309" t="s">
        <v>129</v>
      </c>
      <c r="N309" t="s">
        <v>130</v>
      </c>
      <c r="O309" t="s">
        <v>129</v>
      </c>
      <c r="P309" t="s">
        <v>130</v>
      </c>
      <c r="Q309">
        <v>0</v>
      </c>
      <c r="R309">
        <v>71181</v>
      </c>
    </row>
    <row r="310" spans="1:18" x14ac:dyDescent="0.25">
      <c r="A310">
        <v>60000309</v>
      </c>
      <c r="B310">
        <v>59</v>
      </c>
      <c r="C310" t="s">
        <v>85</v>
      </c>
      <c r="D310" t="s">
        <v>88</v>
      </c>
      <c r="E310" t="s">
        <v>94</v>
      </c>
      <c r="F310" t="s">
        <v>102</v>
      </c>
      <c r="G310">
        <v>13</v>
      </c>
      <c r="H310" t="s">
        <v>132</v>
      </c>
      <c r="I310" t="s">
        <v>143</v>
      </c>
      <c r="J310" t="s">
        <v>12</v>
      </c>
      <c r="K310" t="s">
        <v>68</v>
      </c>
      <c r="L310" t="s">
        <v>128</v>
      </c>
      <c r="M310" t="s">
        <v>130</v>
      </c>
      <c r="N310" t="s">
        <v>130</v>
      </c>
      <c r="O310" t="s">
        <v>129</v>
      </c>
      <c r="P310" t="s">
        <v>130</v>
      </c>
      <c r="Q310">
        <v>0</v>
      </c>
      <c r="R310">
        <v>27743</v>
      </c>
    </row>
    <row r="311" spans="1:18" x14ac:dyDescent="0.25">
      <c r="A311">
        <v>60000310</v>
      </c>
      <c r="B311">
        <v>28</v>
      </c>
      <c r="C311" t="s">
        <v>86</v>
      </c>
      <c r="D311" t="s">
        <v>88</v>
      </c>
      <c r="E311" t="s">
        <v>91</v>
      </c>
      <c r="F311" t="s">
        <v>102</v>
      </c>
      <c r="G311">
        <v>26</v>
      </c>
      <c r="H311" t="s">
        <v>110</v>
      </c>
      <c r="I311" t="s">
        <v>142</v>
      </c>
      <c r="J311" t="s">
        <v>75</v>
      </c>
      <c r="K311" t="s">
        <v>74</v>
      </c>
      <c r="L311" t="s">
        <v>10</v>
      </c>
      <c r="M311" t="s">
        <v>129</v>
      </c>
      <c r="N311" t="s">
        <v>130</v>
      </c>
      <c r="O311" t="s">
        <v>130</v>
      </c>
      <c r="P311" t="s">
        <v>129</v>
      </c>
      <c r="Q311">
        <v>7</v>
      </c>
      <c r="R311">
        <v>33018</v>
      </c>
    </row>
    <row r="312" spans="1:18" x14ac:dyDescent="0.25">
      <c r="A312">
        <v>60000311</v>
      </c>
      <c r="B312">
        <v>20</v>
      </c>
      <c r="C312" t="s">
        <v>86</v>
      </c>
      <c r="D312" t="s">
        <v>87</v>
      </c>
      <c r="E312" t="s">
        <v>100</v>
      </c>
      <c r="F312" t="s">
        <v>102</v>
      </c>
      <c r="G312">
        <v>36</v>
      </c>
      <c r="H312" t="s">
        <v>111</v>
      </c>
      <c r="I312" t="s">
        <v>22</v>
      </c>
      <c r="J312" t="s">
        <v>21</v>
      </c>
      <c r="K312" t="s">
        <v>60</v>
      </c>
      <c r="L312" t="s">
        <v>128</v>
      </c>
      <c r="M312" t="s">
        <v>130</v>
      </c>
      <c r="N312" t="s">
        <v>130</v>
      </c>
      <c r="O312" t="s">
        <v>130</v>
      </c>
      <c r="P312" t="s">
        <v>129</v>
      </c>
      <c r="Q312">
        <v>4</v>
      </c>
      <c r="R312">
        <v>81977</v>
      </c>
    </row>
    <row r="313" spans="1:18" x14ac:dyDescent="0.25">
      <c r="A313">
        <v>60000312</v>
      </c>
      <c r="B313">
        <v>21</v>
      </c>
      <c r="C313" t="s">
        <v>85</v>
      </c>
      <c r="D313" t="s">
        <v>87</v>
      </c>
      <c r="E313" t="s">
        <v>94</v>
      </c>
      <c r="F313" t="s">
        <v>102</v>
      </c>
      <c r="G313">
        <v>17</v>
      </c>
      <c r="H313" t="s">
        <v>132</v>
      </c>
      <c r="I313" t="s">
        <v>148</v>
      </c>
      <c r="J313" t="s">
        <v>47</v>
      </c>
      <c r="K313" t="s">
        <v>19</v>
      </c>
      <c r="L313" t="s">
        <v>128</v>
      </c>
      <c r="M313" t="s">
        <v>129</v>
      </c>
      <c r="N313" t="s">
        <v>130</v>
      </c>
      <c r="O313" t="s">
        <v>130</v>
      </c>
      <c r="P313" t="s">
        <v>129</v>
      </c>
      <c r="Q313">
        <v>3</v>
      </c>
      <c r="R313">
        <v>40365</v>
      </c>
    </row>
    <row r="314" spans="1:18" x14ac:dyDescent="0.25">
      <c r="A314">
        <v>60000313</v>
      </c>
      <c r="B314">
        <v>54</v>
      </c>
      <c r="C314" t="s">
        <v>86</v>
      </c>
      <c r="D314" t="s">
        <v>87</v>
      </c>
      <c r="E314" t="s">
        <v>96</v>
      </c>
      <c r="F314" t="s">
        <v>102</v>
      </c>
      <c r="G314">
        <v>35</v>
      </c>
      <c r="H314" t="s">
        <v>111</v>
      </c>
      <c r="I314" t="s">
        <v>145</v>
      </c>
      <c r="J314" t="s">
        <v>18</v>
      </c>
      <c r="K314" t="s">
        <v>70</v>
      </c>
      <c r="L314" t="s">
        <v>59</v>
      </c>
      <c r="M314" t="s">
        <v>129</v>
      </c>
      <c r="N314" t="s">
        <v>129</v>
      </c>
      <c r="O314" t="s">
        <v>129</v>
      </c>
      <c r="P314" t="s">
        <v>129</v>
      </c>
      <c r="Q314">
        <v>0</v>
      </c>
      <c r="R314">
        <v>24396</v>
      </c>
    </row>
    <row r="315" spans="1:18" x14ac:dyDescent="0.25">
      <c r="A315">
        <v>60000314</v>
      </c>
      <c r="B315">
        <v>36</v>
      </c>
      <c r="C315" t="s">
        <v>85</v>
      </c>
      <c r="D315" t="s">
        <v>88</v>
      </c>
      <c r="E315" t="s">
        <v>90</v>
      </c>
      <c r="F315" t="s">
        <v>102</v>
      </c>
      <c r="G315">
        <v>34</v>
      </c>
      <c r="H315" t="s">
        <v>111</v>
      </c>
      <c r="I315" t="s">
        <v>50</v>
      </c>
      <c r="J315" t="s">
        <v>75</v>
      </c>
      <c r="K315" t="s">
        <v>72</v>
      </c>
      <c r="L315" t="s">
        <v>59</v>
      </c>
      <c r="M315" t="s">
        <v>129</v>
      </c>
      <c r="N315" t="s">
        <v>130</v>
      </c>
      <c r="O315" t="s">
        <v>130</v>
      </c>
      <c r="P315" t="s">
        <v>130</v>
      </c>
      <c r="Q315">
        <v>0</v>
      </c>
      <c r="R315">
        <v>60089</v>
      </c>
    </row>
    <row r="316" spans="1:18" x14ac:dyDescent="0.25">
      <c r="A316">
        <v>60000315</v>
      </c>
      <c r="B316">
        <v>65</v>
      </c>
      <c r="C316" t="s">
        <v>86</v>
      </c>
      <c r="D316" t="s">
        <v>88</v>
      </c>
      <c r="E316" t="s">
        <v>90</v>
      </c>
      <c r="F316" t="s">
        <v>102</v>
      </c>
      <c r="G316">
        <v>37</v>
      </c>
      <c r="H316" t="s">
        <v>111</v>
      </c>
      <c r="I316" t="s">
        <v>55</v>
      </c>
      <c r="J316" t="s">
        <v>25</v>
      </c>
      <c r="K316" t="s">
        <v>20</v>
      </c>
      <c r="L316" t="s">
        <v>59</v>
      </c>
      <c r="M316" t="s">
        <v>129</v>
      </c>
      <c r="N316" t="s">
        <v>129</v>
      </c>
      <c r="O316" t="s">
        <v>130</v>
      </c>
      <c r="P316" t="s">
        <v>130</v>
      </c>
      <c r="Q316">
        <v>0</v>
      </c>
      <c r="R316">
        <v>80153</v>
      </c>
    </row>
    <row r="317" spans="1:18" x14ac:dyDescent="0.25">
      <c r="A317">
        <v>60000316</v>
      </c>
      <c r="B317">
        <v>53</v>
      </c>
      <c r="C317" t="s">
        <v>86</v>
      </c>
      <c r="D317" t="s">
        <v>88</v>
      </c>
      <c r="E317" t="s">
        <v>99</v>
      </c>
      <c r="F317" t="s">
        <v>102</v>
      </c>
      <c r="G317">
        <v>17</v>
      </c>
      <c r="H317" t="s">
        <v>132</v>
      </c>
      <c r="I317" t="s">
        <v>144</v>
      </c>
      <c r="J317" t="s">
        <v>18</v>
      </c>
      <c r="K317" t="s">
        <v>64</v>
      </c>
      <c r="L317" t="s">
        <v>10</v>
      </c>
      <c r="M317" t="s">
        <v>129</v>
      </c>
      <c r="N317" t="s">
        <v>129</v>
      </c>
      <c r="O317" t="s">
        <v>129</v>
      </c>
      <c r="P317" t="s">
        <v>130</v>
      </c>
      <c r="Q317">
        <v>0</v>
      </c>
      <c r="R317">
        <v>30014</v>
      </c>
    </row>
    <row r="318" spans="1:18" x14ac:dyDescent="0.25">
      <c r="A318">
        <v>60000317</v>
      </c>
      <c r="B318">
        <v>30</v>
      </c>
      <c r="C318" t="s">
        <v>86</v>
      </c>
      <c r="D318" t="s">
        <v>87</v>
      </c>
      <c r="E318" t="s">
        <v>97</v>
      </c>
      <c r="F318" t="s">
        <v>102</v>
      </c>
      <c r="G318">
        <v>30</v>
      </c>
      <c r="H318" t="s">
        <v>110</v>
      </c>
      <c r="I318" t="s">
        <v>146</v>
      </c>
      <c r="J318" t="s">
        <v>23</v>
      </c>
      <c r="K318" t="s">
        <v>61</v>
      </c>
      <c r="L318" t="s">
        <v>10</v>
      </c>
      <c r="M318" t="s">
        <v>130</v>
      </c>
      <c r="N318" t="s">
        <v>130</v>
      </c>
      <c r="O318" t="s">
        <v>130</v>
      </c>
      <c r="P318" t="s">
        <v>129</v>
      </c>
      <c r="Q318">
        <v>3</v>
      </c>
      <c r="R318">
        <v>59887</v>
      </c>
    </row>
    <row r="319" spans="1:18" x14ac:dyDescent="0.25">
      <c r="A319">
        <v>60000318</v>
      </c>
      <c r="B319">
        <v>55</v>
      </c>
      <c r="C319" t="s">
        <v>86</v>
      </c>
      <c r="D319" t="s">
        <v>88</v>
      </c>
      <c r="E319" t="s">
        <v>97</v>
      </c>
      <c r="F319" t="s">
        <v>102</v>
      </c>
      <c r="G319">
        <v>19</v>
      </c>
      <c r="H319" t="s">
        <v>109</v>
      </c>
      <c r="I319" t="s">
        <v>146</v>
      </c>
      <c r="J319" t="s">
        <v>75</v>
      </c>
      <c r="K319" t="s">
        <v>37</v>
      </c>
      <c r="L319" t="s">
        <v>128</v>
      </c>
      <c r="M319" t="s">
        <v>130</v>
      </c>
      <c r="N319" t="s">
        <v>130</v>
      </c>
      <c r="O319" t="s">
        <v>129</v>
      </c>
      <c r="P319" t="s">
        <v>130</v>
      </c>
      <c r="Q319">
        <v>0</v>
      </c>
      <c r="R319">
        <v>54530</v>
      </c>
    </row>
    <row r="320" spans="1:18" x14ac:dyDescent="0.25">
      <c r="A320">
        <v>60000319</v>
      </c>
      <c r="B320">
        <v>22</v>
      </c>
      <c r="C320" t="s">
        <v>85</v>
      </c>
      <c r="D320" t="s">
        <v>87</v>
      </c>
      <c r="E320" t="s">
        <v>94</v>
      </c>
      <c r="F320" t="s">
        <v>102</v>
      </c>
      <c r="G320">
        <v>34</v>
      </c>
      <c r="H320" t="s">
        <v>111</v>
      </c>
      <c r="I320" t="s">
        <v>145</v>
      </c>
      <c r="J320" t="s">
        <v>12</v>
      </c>
      <c r="K320" t="s">
        <v>38</v>
      </c>
      <c r="L320" t="s">
        <v>59</v>
      </c>
      <c r="M320" t="s">
        <v>130</v>
      </c>
      <c r="N320" t="s">
        <v>129</v>
      </c>
      <c r="O320" t="s">
        <v>129</v>
      </c>
      <c r="P320" t="s">
        <v>130</v>
      </c>
      <c r="Q320">
        <v>0</v>
      </c>
      <c r="R320">
        <v>69493</v>
      </c>
    </row>
    <row r="321" spans="1:18" x14ac:dyDescent="0.25">
      <c r="A321">
        <v>60000320</v>
      </c>
      <c r="B321">
        <v>48</v>
      </c>
      <c r="C321" t="s">
        <v>85</v>
      </c>
      <c r="D321" t="s">
        <v>87</v>
      </c>
      <c r="E321" t="s">
        <v>95</v>
      </c>
      <c r="F321" t="s">
        <v>102</v>
      </c>
      <c r="G321">
        <v>25</v>
      </c>
      <c r="H321" t="s">
        <v>110</v>
      </c>
      <c r="I321" t="s">
        <v>29</v>
      </c>
      <c r="J321" t="s">
        <v>12</v>
      </c>
      <c r="K321" t="s">
        <v>60</v>
      </c>
      <c r="L321" t="s">
        <v>59</v>
      </c>
      <c r="M321" t="s">
        <v>130</v>
      </c>
      <c r="N321" t="s">
        <v>129</v>
      </c>
      <c r="O321" t="s">
        <v>130</v>
      </c>
      <c r="P321" t="s">
        <v>130</v>
      </c>
      <c r="Q321">
        <v>0</v>
      </c>
      <c r="R321">
        <v>59545</v>
      </c>
    </row>
    <row r="322" spans="1:18" x14ac:dyDescent="0.25">
      <c r="A322">
        <v>60000321</v>
      </c>
      <c r="B322">
        <v>53</v>
      </c>
      <c r="C322" t="s">
        <v>85</v>
      </c>
      <c r="D322" t="s">
        <v>87</v>
      </c>
      <c r="E322" t="s">
        <v>5</v>
      </c>
      <c r="F322" t="s">
        <v>102</v>
      </c>
      <c r="G322">
        <v>23</v>
      </c>
      <c r="H322" t="s">
        <v>109</v>
      </c>
      <c r="I322" t="s">
        <v>145</v>
      </c>
      <c r="J322" t="s">
        <v>9</v>
      </c>
      <c r="K322" t="s">
        <v>45</v>
      </c>
      <c r="L322" t="s">
        <v>59</v>
      </c>
      <c r="M322" t="s">
        <v>129</v>
      </c>
      <c r="N322" t="s">
        <v>129</v>
      </c>
      <c r="O322" t="s">
        <v>130</v>
      </c>
      <c r="P322" t="s">
        <v>130</v>
      </c>
      <c r="Q322">
        <v>0</v>
      </c>
      <c r="R322">
        <v>44617</v>
      </c>
    </row>
    <row r="323" spans="1:18" x14ac:dyDescent="0.25">
      <c r="A323">
        <v>60000322</v>
      </c>
      <c r="B323">
        <v>41</v>
      </c>
      <c r="C323" t="s">
        <v>86</v>
      </c>
      <c r="D323" t="s">
        <v>87</v>
      </c>
      <c r="E323" t="s">
        <v>96</v>
      </c>
      <c r="F323" t="s">
        <v>102</v>
      </c>
      <c r="G323">
        <v>16</v>
      </c>
      <c r="H323" t="s">
        <v>132</v>
      </c>
      <c r="I323" t="s">
        <v>142</v>
      </c>
      <c r="J323" t="s">
        <v>23</v>
      </c>
      <c r="K323" t="s">
        <v>38</v>
      </c>
      <c r="L323" t="s">
        <v>59</v>
      </c>
      <c r="M323" t="s">
        <v>130</v>
      </c>
      <c r="N323" t="s">
        <v>129</v>
      </c>
      <c r="O323" t="s">
        <v>129</v>
      </c>
      <c r="P323" t="s">
        <v>129</v>
      </c>
      <c r="Q323">
        <v>4</v>
      </c>
      <c r="R323">
        <v>73689</v>
      </c>
    </row>
    <row r="324" spans="1:18" x14ac:dyDescent="0.25">
      <c r="A324">
        <v>60000323</v>
      </c>
      <c r="B324">
        <v>59</v>
      </c>
      <c r="C324" t="s">
        <v>85</v>
      </c>
      <c r="D324" t="s">
        <v>88</v>
      </c>
      <c r="E324" t="s">
        <v>96</v>
      </c>
      <c r="F324" t="s">
        <v>102</v>
      </c>
      <c r="G324">
        <v>16</v>
      </c>
      <c r="H324" t="s">
        <v>132</v>
      </c>
      <c r="I324" t="s">
        <v>150</v>
      </c>
      <c r="J324" t="s">
        <v>53</v>
      </c>
      <c r="K324" t="s">
        <v>42</v>
      </c>
      <c r="L324" t="s">
        <v>10</v>
      </c>
      <c r="M324" t="s">
        <v>129</v>
      </c>
      <c r="N324" t="s">
        <v>130</v>
      </c>
      <c r="O324" t="s">
        <v>130</v>
      </c>
      <c r="P324" t="s">
        <v>129</v>
      </c>
      <c r="Q324">
        <v>6</v>
      </c>
      <c r="R324">
        <v>40223</v>
      </c>
    </row>
    <row r="325" spans="1:18" x14ac:dyDescent="0.25">
      <c r="A325">
        <v>60000324</v>
      </c>
      <c r="B325">
        <v>46</v>
      </c>
      <c r="C325" t="s">
        <v>86</v>
      </c>
      <c r="D325" t="s">
        <v>87</v>
      </c>
      <c r="E325" t="s">
        <v>90</v>
      </c>
      <c r="F325" t="s">
        <v>102</v>
      </c>
      <c r="G325">
        <v>18</v>
      </c>
      <c r="H325" t="s">
        <v>132</v>
      </c>
      <c r="I325" t="s">
        <v>139</v>
      </c>
      <c r="J325" t="s">
        <v>14</v>
      </c>
      <c r="K325" t="s">
        <v>73</v>
      </c>
      <c r="L325" t="s">
        <v>10</v>
      </c>
      <c r="M325" t="s">
        <v>130</v>
      </c>
      <c r="N325" t="s">
        <v>130</v>
      </c>
      <c r="O325" t="s">
        <v>129</v>
      </c>
      <c r="P325" t="s">
        <v>130</v>
      </c>
      <c r="Q325">
        <v>0</v>
      </c>
      <c r="R325">
        <v>57482</v>
      </c>
    </row>
    <row r="326" spans="1:18" x14ac:dyDescent="0.25">
      <c r="A326">
        <v>60000325</v>
      </c>
      <c r="B326">
        <v>30</v>
      </c>
      <c r="C326" t="s">
        <v>86</v>
      </c>
      <c r="D326" t="s">
        <v>87</v>
      </c>
      <c r="E326" t="s">
        <v>100</v>
      </c>
      <c r="F326" t="s">
        <v>102</v>
      </c>
      <c r="G326">
        <v>27</v>
      </c>
      <c r="H326" t="s">
        <v>110</v>
      </c>
      <c r="I326" t="s">
        <v>139</v>
      </c>
      <c r="J326" t="s">
        <v>14</v>
      </c>
      <c r="K326" t="s">
        <v>20</v>
      </c>
      <c r="L326" t="s">
        <v>128</v>
      </c>
      <c r="M326" t="s">
        <v>130</v>
      </c>
      <c r="N326" t="s">
        <v>130</v>
      </c>
      <c r="O326" t="s">
        <v>129</v>
      </c>
      <c r="P326" t="s">
        <v>129</v>
      </c>
      <c r="Q326">
        <v>7</v>
      </c>
      <c r="R326">
        <v>64281</v>
      </c>
    </row>
    <row r="327" spans="1:18" x14ac:dyDescent="0.25">
      <c r="A327">
        <v>60000326</v>
      </c>
      <c r="B327">
        <v>62</v>
      </c>
      <c r="C327" t="s">
        <v>86</v>
      </c>
      <c r="D327" t="s">
        <v>87</v>
      </c>
      <c r="E327" t="s">
        <v>100</v>
      </c>
      <c r="F327" t="s">
        <v>102</v>
      </c>
      <c r="G327">
        <v>12</v>
      </c>
      <c r="H327" t="s">
        <v>132</v>
      </c>
      <c r="I327" t="s">
        <v>147</v>
      </c>
      <c r="J327" t="s">
        <v>25</v>
      </c>
      <c r="K327" t="s">
        <v>73</v>
      </c>
      <c r="L327" t="s">
        <v>10</v>
      </c>
      <c r="M327" t="s">
        <v>130</v>
      </c>
      <c r="N327" t="s">
        <v>130</v>
      </c>
      <c r="O327" t="s">
        <v>130</v>
      </c>
      <c r="P327" t="s">
        <v>129</v>
      </c>
      <c r="Q327">
        <v>2</v>
      </c>
      <c r="R327">
        <v>71618</v>
      </c>
    </row>
    <row r="328" spans="1:18" x14ac:dyDescent="0.25">
      <c r="A328">
        <v>60000327</v>
      </c>
      <c r="B328">
        <v>27</v>
      </c>
      <c r="C328" t="s">
        <v>86</v>
      </c>
      <c r="D328" t="s">
        <v>87</v>
      </c>
      <c r="E328" t="s">
        <v>92</v>
      </c>
      <c r="F328" t="s">
        <v>102</v>
      </c>
      <c r="G328">
        <v>15</v>
      </c>
      <c r="H328" t="s">
        <v>132</v>
      </c>
      <c r="I328" t="s">
        <v>29</v>
      </c>
      <c r="J328" t="s">
        <v>23</v>
      </c>
      <c r="K328" t="s">
        <v>61</v>
      </c>
      <c r="L328" t="s">
        <v>128</v>
      </c>
      <c r="M328" t="s">
        <v>129</v>
      </c>
      <c r="N328" t="s">
        <v>129</v>
      </c>
      <c r="O328" t="s">
        <v>130</v>
      </c>
      <c r="P328" t="s">
        <v>130</v>
      </c>
      <c r="Q328">
        <v>0</v>
      </c>
      <c r="R328">
        <v>26318</v>
      </c>
    </row>
    <row r="329" spans="1:18" x14ac:dyDescent="0.25">
      <c r="A329">
        <v>60000328</v>
      </c>
      <c r="B329">
        <v>59</v>
      </c>
      <c r="C329" t="s">
        <v>85</v>
      </c>
      <c r="D329" t="s">
        <v>88</v>
      </c>
      <c r="E329" t="s">
        <v>100</v>
      </c>
      <c r="F329" t="s">
        <v>102</v>
      </c>
      <c r="G329">
        <v>10</v>
      </c>
      <c r="H329" t="s">
        <v>108</v>
      </c>
      <c r="I329" t="s">
        <v>140</v>
      </c>
      <c r="J329" t="s">
        <v>23</v>
      </c>
      <c r="K329" t="s">
        <v>13</v>
      </c>
      <c r="L329" t="s">
        <v>10</v>
      </c>
      <c r="M329" t="s">
        <v>129</v>
      </c>
      <c r="N329" t="s">
        <v>130</v>
      </c>
      <c r="O329" t="s">
        <v>130</v>
      </c>
      <c r="P329" t="s">
        <v>129</v>
      </c>
      <c r="Q329">
        <v>4</v>
      </c>
      <c r="R329">
        <v>46356</v>
      </c>
    </row>
    <row r="330" spans="1:18" x14ac:dyDescent="0.25">
      <c r="A330">
        <v>60000329</v>
      </c>
      <c r="B330">
        <v>29</v>
      </c>
      <c r="C330" t="s">
        <v>86</v>
      </c>
      <c r="D330" t="s">
        <v>88</v>
      </c>
      <c r="E330" t="s">
        <v>91</v>
      </c>
      <c r="F330" t="s">
        <v>102</v>
      </c>
      <c r="G330">
        <v>28</v>
      </c>
      <c r="H330" t="s">
        <v>110</v>
      </c>
      <c r="I330" t="s">
        <v>144</v>
      </c>
      <c r="J330" t="s">
        <v>14</v>
      </c>
      <c r="K330" t="s">
        <v>13</v>
      </c>
      <c r="L330" t="s">
        <v>10</v>
      </c>
      <c r="M330" t="s">
        <v>130</v>
      </c>
      <c r="N330" t="s">
        <v>130</v>
      </c>
      <c r="O330" t="s">
        <v>129</v>
      </c>
      <c r="P330" t="s">
        <v>130</v>
      </c>
      <c r="Q330">
        <v>0</v>
      </c>
      <c r="R330">
        <v>81647</v>
      </c>
    </row>
    <row r="331" spans="1:18" x14ac:dyDescent="0.25">
      <c r="A331">
        <v>60000330</v>
      </c>
      <c r="B331">
        <v>48</v>
      </c>
      <c r="C331" t="s">
        <v>86</v>
      </c>
      <c r="D331" t="s">
        <v>87</v>
      </c>
      <c r="E331" t="s">
        <v>92</v>
      </c>
      <c r="F331" t="s">
        <v>102</v>
      </c>
      <c r="G331">
        <v>14</v>
      </c>
      <c r="H331" t="s">
        <v>132</v>
      </c>
      <c r="I331" t="s">
        <v>147</v>
      </c>
      <c r="J331" t="s">
        <v>47</v>
      </c>
      <c r="K331" t="s">
        <v>31</v>
      </c>
      <c r="L331" t="s">
        <v>59</v>
      </c>
      <c r="M331" t="s">
        <v>129</v>
      </c>
      <c r="N331" t="s">
        <v>130</v>
      </c>
      <c r="O331" t="s">
        <v>129</v>
      </c>
      <c r="P331" t="s">
        <v>129</v>
      </c>
      <c r="Q331">
        <v>3</v>
      </c>
      <c r="R331">
        <v>54648</v>
      </c>
    </row>
    <row r="332" spans="1:18" x14ac:dyDescent="0.25">
      <c r="A332">
        <v>60000331</v>
      </c>
      <c r="B332">
        <v>21</v>
      </c>
      <c r="C332" t="s">
        <v>86</v>
      </c>
      <c r="D332" t="s">
        <v>87</v>
      </c>
      <c r="E332" t="s">
        <v>93</v>
      </c>
      <c r="F332" t="s">
        <v>102</v>
      </c>
      <c r="G332">
        <v>24</v>
      </c>
      <c r="H332" t="s">
        <v>109</v>
      </c>
      <c r="I332" t="s">
        <v>55</v>
      </c>
      <c r="J332" t="s">
        <v>75</v>
      </c>
      <c r="K332" t="s">
        <v>22</v>
      </c>
      <c r="L332" t="s">
        <v>10</v>
      </c>
      <c r="M332" t="s">
        <v>130</v>
      </c>
      <c r="N332" t="s">
        <v>129</v>
      </c>
      <c r="O332" t="s">
        <v>129</v>
      </c>
      <c r="P332" t="s">
        <v>129</v>
      </c>
      <c r="Q332">
        <v>7</v>
      </c>
      <c r="R332">
        <v>81653</v>
      </c>
    </row>
    <row r="333" spans="1:18" x14ac:dyDescent="0.25">
      <c r="A333">
        <v>60000332</v>
      </c>
      <c r="B333">
        <v>36</v>
      </c>
      <c r="C333" t="s">
        <v>86</v>
      </c>
      <c r="D333" t="s">
        <v>87</v>
      </c>
      <c r="E333" t="s">
        <v>95</v>
      </c>
      <c r="F333" t="s">
        <v>102</v>
      </c>
      <c r="G333">
        <v>38</v>
      </c>
      <c r="H333" t="s">
        <v>111</v>
      </c>
      <c r="I333" t="s">
        <v>22</v>
      </c>
      <c r="J333" t="s">
        <v>23</v>
      </c>
      <c r="K333" t="s">
        <v>36</v>
      </c>
      <c r="L333" t="s">
        <v>59</v>
      </c>
      <c r="M333" t="s">
        <v>130</v>
      </c>
      <c r="N333" t="s">
        <v>129</v>
      </c>
      <c r="O333" t="s">
        <v>129</v>
      </c>
      <c r="P333" t="s">
        <v>129</v>
      </c>
      <c r="Q333">
        <v>7</v>
      </c>
      <c r="R333">
        <v>77875</v>
      </c>
    </row>
    <row r="334" spans="1:18" x14ac:dyDescent="0.25">
      <c r="A334">
        <v>60000333</v>
      </c>
      <c r="B334">
        <v>25</v>
      </c>
      <c r="C334" t="s">
        <v>85</v>
      </c>
      <c r="D334" t="s">
        <v>87</v>
      </c>
      <c r="E334" t="s">
        <v>93</v>
      </c>
      <c r="F334" t="s">
        <v>102</v>
      </c>
      <c r="G334">
        <v>11</v>
      </c>
      <c r="H334" t="s">
        <v>108</v>
      </c>
      <c r="I334" t="s">
        <v>22</v>
      </c>
      <c r="J334" t="s">
        <v>14</v>
      </c>
      <c r="K334" t="s">
        <v>11</v>
      </c>
      <c r="L334" t="s">
        <v>128</v>
      </c>
      <c r="M334" t="s">
        <v>129</v>
      </c>
      <c r="N334" t="s">
        <v>130</v>
      </c>
      <c r="O334" t="s">
        <v>130</v>
      </c>
      <c r="P334" t="s">
        <v>130</v>
      </c>
      <c r="Q334">
        <v>0</v>
      </c>
      <c r="R334">
        <v>45273</v>
      </c>
    </row>
    <row r="335" spans="1:18" x14ac:dyDescent="0.25">
      <c r="A335">
        <v>60000334</v>
      </c>
      <c r="B335">
        <v>21</v>
      </c>
      <c r="C335" t="s">
        <v>85</v>
      </c>
      <c r="D335" t="s">
        <v>88</v>
      </c>
      <c r="E335" t="s">
        <v>5</v>
      </c>
      <c r="F335" t="s">
        <v>102</v>
      </c>
      <c r="G335">
        <v>25</v>
      </c>
      <c r="H335" t="s">
        <v>110</v>
      </c>
      <c r="I335" t="s">
        <v>29</v>
      </c>
      <c r="J335" t="s">
        <v>21</v>
      </c>
      <c r="K335" t="s">
        <v>29</v>
      </c>
      <c r="L335" t="s">
        <v>59</v>
      </c>
      <c r="M335" t="s">
        <v>129</v>
      </c>
      <c r="N335" t="s">
        <v>130</v>
      </c>
      <c r="O335" t="s">
        <v>130</v>
      </c>
      <c r="P335" t="s">
        <v>129</v>
      </c>
      <c r="Q335">
        <v>3</v>
      </c>
      <c r="R335">
        <v>61595</v>
      </c>
    </row>
    <row r="336" spans="1:18" x14ac:dyDescent="0.25">
      <c r="A336">
        <v>60000335</v>
      </c>
      <c r="B336">
        <v>58</v>
      </c>
      <c r="C336" t="s">
        <v>85</v>
      </c>
      <c r="D336" t="s">
        <v>87</v>
      </c>
      <c r="E336" t="s">
        <v>90</v>
      </c>
      <c r="F336" t="s">
        <v>102</v>
      </c>
      <c r="G336">
        <v>14</v>
      </c>
      <c r="H336" t="s">
        <v>132</v>
      </c>
      <c r="I336" t="s">
        <v>141</v>
      </c>
      <c r="J336" t="s">
        <v>53</v>
      </c>
      <c r="K336" t="s">
        <v>15</v>
      </c>
      <c r="L336" t="s">
        <v>59</v>
      </c>
      <c r="M336" t="s">
        <v>130</v>
      </c>
      <c r="N336" t="s">
        <v>129</v>
      </c>
      <c r="O336" t="s">
        <v>129</v>
      </c>
      <c r="P336" t="s">
        <v>130</v>
      </c>
      <c r="Q336">
        <v>0</v>
      </c>
      <c r="R336">
        <v>63891</v>
      </c>
    </row>
    <row r="337" spans="1:18" x14ac:dyDescent="0.25">
      <c r="A337">
        <v>60000336</v>
      </c>
      <c r="B337">
        <v>54</v>
      </c>
      <c r="C337" t="s">
        <v>86</v>
      </c>
      <c r="D337" t="s">
        <v>88</v>
      </c>
      <c r="E337" t="s">
        <v>90</v>
      </c>
      <c r="F337" t="s">
        <v>102</v>
      </c>
      <c r="G337">
        <v>35</v>
      </c>
      <c r="H337" t="s">
        <v>111</v>
      </c>
      <c r="I337" t="s">
        <v>144</v>
      </c>
      <c r="J337" t="s">
        <v>18</v>
      </c>
      <c r="K337" t="s">
        <v>33</v>
      </c>
      <c r="L337" t="s">
        <v>128</v>
      </c>
      <c r="M337" t="s">
        <v>130</v>
      </c>
      <c r="N337" t="s">
        <v>129</v>
      </c>
      <c r="O337" t="s">
        <v>129</v>
      </c>
      <c r="P337" t="s">
        <v>129</v>
      </c>
      <c r="Q337">
        <v>3</v>
      </c>
      <c r="R337">
        <v>82738</v>
      </c>
    </row>
    <row r="338" spans="1:18" x14ac:dyDescent="0.25">
      <c r="A338">
        <v>60000337</v>
      </c>
      <c r="B338">
        <v>22</v>
      </c>
      <c r="C338" t="s">
        <v>85</v>
      </c>
      <c r="D338" t="s">
        <v>88</v>
      </c>
      <c r="E338" t="s">
        <v>92</v>
      </c>
      <c r="F338" t="s">
        <v>102</v>
      </c>
      <c r="G338">
        <v>20</v>
      </c>
      <c r="H338" t="s">
        <v>109</v>
      </c>
      <c r="I338" t="s">
        <v>139</v>
      </c>
      <c r="J338" t="s">
        <v>16</v>
      </c>
      <c r="K338" t="s">
        <v>41</v>
      </c>
      <c r="L338" t="s">
        <v>128</v>
      </c>
      <c r="M338" t="s">
        <v>129</v>
      </c>
      <c r="N338" t="s">
        <v>129</v>
      </c>
      <c r="O338" t="s">
        <v>130</v>
      </c>
      <c r="P338" t="s">
        <v>129</v>
      </c>
      <c r="Q338">
        <v>0</v>
      </c>
      <c r="R338">
        <v>70406</v>
      </c>
    </row>
    <row r="339" spans="1:18" x14ac:dyDescent="0.25">
      <c r="A339">
        <v>60000338</v>
      </c>
      <c r="B339">
        <v>43</v>
      </c>
      <c r="C339" t="s">
        <v>86</v>
      </c>
      <c r="D339" t="s">
        <v>88</v>
      </c>
      <c r="E339" t="s">
        <v>5</v>
      </c>
      <c r="F339" t="s">
        <v>102</v>
      </c>
      <c r="G339">
        <v>24</v>
      </c>
      <c r="H339" t="s">
        <v>109</v>
      </c>
      <c r="I339" t="s">
        <v>145</v>
      </c>
      <c r="J339" t="s">
        <v>21</v>
      </c>
      <c r="K339" t="s">
        <v>42</v>
      </c>
      <c r="L339" t="s">
        <v>10</v>
      </c>
      <c r="M339" t="s">
        <v>129</v>
      </c>
      <c r="N339" t="s">
        <v>130</v>
      </c>
      <c r="O339" t="s">
        <v>129</v>
      </c>
      <c r="P339" t="s">
        <v>130</v>
      </c>
      <c r="Q339">
        <v>0</v>
      </c>
      <c r="R339">
        <v>32704</v>
      </c>
    </row>
    <row r="340" spans="1:18" x14ac:dyDescent="0.25">
      <c r="A340">
        <v>60000339</v>
      </c>
      <c r="B340">
        <v>41</v>
      </c>
      <c r="C340" t="s">
        <v>85</v>
      </c>
      <c r="D340" t="s">
        <v>87</v>
      </c>
      <c r="E340" t="s">
        <v>99</v>
      </c>
      <c r="F340" t="s">
        <v>102</v>
      </c>
      <c r="G340">
        <v>18</v>
      </c>
      <c r="H340" t="s">
        <v>132</v>
      </c>
      <c r="I340" t="s">
        <v>142</v>
      </c>
      <c r="J340" t="s">
        <v>53</v>
      </c>
      <c r="K340" t="s">
        <v>54</v>
      </c>
      <c r="L340" t="s">
        <v>128</v>
      </c>
      <c r="M340" t="s">
        <v>129</v>
      </c>
      <c r="N340" t="s">
        <v>130</v>
      </c>
      <c r="O340" t="s">
        <v>129</v>
      </c>
      <c r="P340" t="s">
        <v>129</v>
      </c>
      <c r="Q340">
        <v>5</v>
      </c>
      <c r="R340">
        <v>55853</v>
      </c>
    </row>
    <row r="341" spans="1:18" x14ac:dyDescent="0.25">
      <c r="A341">
        <v>60000340</v>
      </c>
      <c r="B341">
        <v>30</v>
      </c>
      <c r="C341" t="s">
        <v>86</v>
      </c>
      <c r="D341" t="s">
        <v>87</v>
      </c>
      <c r="E341" t="s">
        <v>96</v>
      </c>
      <c r="F341" t="s">
        <v>102</v>
      </c>
      <c r="G341">
        <v>21</v>
      </c>
      <c r="H341" t="s">
        <v>109</v>
      </c>
      <c r="I341" t="s">
        <v>140</v>
      </c>
      <c r="J341" t="s">
        <v>18</v>
      </c>
      <c r="K341" t="s">
        <v>33</v>
      </c>
      <c r="L341" t="s">
        <v>128</v>
      </c>
      <c r="M341" t="s">
        <v>129</v>
      </c>
      <c r="N341" t="s">
        <v>130</v>
      </c>
      <c r="O341" t="s">
        <v>130</v>
      </c>
      <c r="P341" t="s">
        <v>129</v>
      </c>
      <c r="Q341">
        <v>1</v>
      </c>
      <c r="R341">
        <v>68248</v>
      </c>
    </row>
    <row r="342" spans="1:18" x14ac:dyDescent="0.25">
      <c r="A342">
        <v>60000341</v>
      </c>
      <c r="B342">
        <v>20</v>
      </c>
      <c r="C342" t="s">
        <v>85</v>
      </c>
      <c r="D342" t="s">
        <v>88</v>
      </c>
      <c r="E342" t="s">
        <v>95</v>
      </c>
      <c r="F342" t="s">
        <v>102</v>
      </c>
      <c r="G342">
        <v>21</v>
      </c>
      <c r="H342" t="s">
        <v>109</v>
      </c>
      <c r="I342" t="s">
        <v>141</v>
      </c>
      <c r="J342" t="s">
        <v>62</v>
      </c>
      <c r="K342" t="s">
        <v>11</v>
      </c>
      <c r="L342" t="s">
        <v>128</v>
      </c>
      <c r="M342" t="s">
        <v>130</v>
      </c>
      <c r="N342" t="s">
        <v>130</v>
      </c>
      <c r="O342" t="s">
        <v>129</v>
      </c>
      <c r="P342" t="s">
        <v>129</v>
      </c>
      <c r="Q342">
        <v>7</v>
      </c>
      <c r="R342">
        <v>66416</v>
      </c>
    </row>
    <row r="343" spans="1:18" x14ac:dyDescent="0.25">
      <c r="A343">
        <v>60000342</v>
      </c>
      <c r="B343">
        <v>35</v>
      </c>
      <c r="C343" t="s">
        <v>85</v>
      </c>
      <c r="D343" t="s">
        <v>87</v>
      </c>
      <c r="E343" t="s">
        <v>91</v>
      </c>
      <c r="F343" t="s">
        <v>102</v>
      </c>
      <c r="G343">
        <v>31</v>
      </c>
      <c r="H343" t="s">
        <v>110</v>
      </c>
      <c r="I343" t="s">
        <v>145</v>
      </c>
      <c r="J343" t="s">
        <v>32</v>
      </c>
      <c r="K343" t="s">
        <v>27</v>
      </c>
      <c r="L343" t="s">
        <v>59</v>
      </c>
      <c r="M343" t="s">
        <v>130</v>
      </c>
      <c r="N343" t="s">
        <v>129</v>
      </c>
      <c r="O343" t="s">
        <v>130</v>
      </c>
      <c r="P343" t="s">
        <v>130</v>
      </c>
      <c r="Q343">
        <v>0</v>
      </c>
      <c r="R343">
        <v>30843</v>
      </c>
    </row>
    <row r="344" spans="1:18" x14ac:dyDescent="0.25">
      <c r="A344">
        <v>60000343</v>
      </c>
      <c r="B344">
        <v>47</v>
      </c>
      <c r="C344" t="s">
        <v>85</v>
      </c>
      <c r="D344" t="s">
        <v>87</v>
      </c>
      <c r="E344" t="s">
        <v>90</v>
      </c>
      <c r="F344" t="s">
        <v>102</v>
      </c>
      <c r="G344">
        <v>33</v>
      </c>
      <c r="H344" t="s">
        <v>111</v>
      </c>
      <c r="I344" t="s">
        <v>140</v>
      </c>
      <c r="J344" t="s">
        <v>23</v>
      </c>
      <c r="K344" t="s">
        <v>56</v>
      </c>
      <c r="L344" t="s">
        <v>59</v>
      </c>
      <c r="M344" t="s">
        <v>129</v>
      </c>
      <c r="N344" t="s">
        <v>130</v>
      </c>
      <c r="O344" t="s">
        <v>129</v>
      </c>
      <c r="P344" t="s">
        <v>129</v>
      </c>
      <c r="Q344">
        <v>1</v>
      </c>
      <c r="R344">
        <v>75103</v>
      </c>
    </row>
    <row r="345" spans="1:18" x14ac:dyDescent="0.25">
      <c r="A345">
        <v>60000344</v>
      </c>
      <c r="B345">
        <v>56</v>
      </c>
      <c r="C345" t="s">
        <v>85</v>
      </c>
      <c r="D345" t="s">
        <v>88</v>
      </c>
      <c r="E345" t="s">
        <v>91</v>
      </c>
      <c r="F345" t="s">
        <v>102</v>
      </c>
      <c r="G345">
        <v>30</v>
      </c>
      <c r="H345" t="s">
        <v>110</v>
      </c>
      <c r="I345" t="s">
        <v>29</v>
      </c>
      <c r="J345" t="s">
        <v>32</v>
      </c>
      <c r="K345" t="s">
        <v>54</v>
      </c>
      <c r="L345" t="s">
        <v>59</v>
      </c>
      <c r="M345" t="s">
        <v>129</v>
      </c>
      <c r="N345" t="s">
        <v>130</v>
      </c>
      <c r="O345" t="s">
        <v>129</v>
      </c>
      <c r="P345" t="s">
        <v>130</v>
      </c>
      <c r="Q345">
        <v>0</v>
      </c>
      <c r="R345">
        <v>25142</v>
      </c>
    </row>
    <row r="346" spans="1:18" x14ac:dyDescent="0.25">
      <c r="A346">
        <v>60000345</v>
      </c>
      <c r="B346">
        <v>45</v>
      </c>
      <c r="C346" t="s">
        <v>86</v>
      </c>
      <c r="D346" t="s">
        <v>87</v>
      </c>
      <c r="E346" t="s">
        <v>92</v>
      </c>
      <c r="F346" t="s">
        <v>102</v>
      </c>
      <c r="G346">
        <v>25</v>
      </c>
      <c r="H346" t="s">
        <v>110</v>
      </c>
      <c r="I346" t="s">
        <v>11</v>
      </c>
      <c r="J346" t="s">
        <v>62</v>
      </c>
      <c r="K346" t="s">
        <v>29</v>
      </c>
      <c r="L346" t="s">
        <v>128</v>
      </c>
      <c r="M346" t="s">
        <v>129</v>
      </c>
      <c r="N346" t="s">
        <v>129</v>
      </c>
      <c r="O346" t="s">
        <v>129</v>
      </c>
      <c r="P346" t="s">
        <v>130</v>
      </c>
      <c r="Q346">
        <v>0</v>
      </c>
      <c r="R346">
        <v>66513</v>
      </c>
    </row>
    <row r="347" spans="1:18" x14ac:dyDescent="0.25">
      <c r="A347">
        <v>60000346</v>
      </c>
      <c r="B347">
        <v>61</v>
      </c>
      <c r="C347" t="s">
        <v>85</v>
      </c>
      <c r="D347" t="s">
        <v>88</v>
      </c>
      <c r="E347" t="s">
        <v>5</v>
      </c>
      <c r="F347" t="s">
        <v>102</v>
      </c>
      <c r="G347">
        <v>24</v>
      </c>
      <c r="H347" t="s">
        <v>109</v>
      </c>
      <c r="I347" t="s">
        <v>147</v>
      </c>
      <c r="J347" t="s">
        <v>23</v>
      </c>
      <c r="K347" t="s">
        <v>71</v>
      </c>
      <c r="L347" t="s">
        <v>59</v>
      </c>
      <c r="M347" t="s">
        <v>129</v>
      </c>
      <c r="N347" t="s">
        <v>129</v>
      </c>
      <c r="O347" t="s">
        <v>129</v>
      </c>
      <c r="P347" t="s">
        <v>130</v>
      </c>
      <c r="Q347">
        <v>0</v>
      </c>
      <c r="R347">
        <v>27384</v>
      </c>
    </row>
    <row r="348" spans="1:18" x14ac:dyDescent="0.25">
      <c r="A348">
        <v>60000347</v>
      </c>
      <c r="B348">
        <v>39</v>
      </c>
      <c r="C348" t="s">
        <v>85</v>
      </c>
      <c r="D348" t="s">
        <v>87</v>
      </c>
      <c r="E348" t="s">
        <v>95</v>
      </c>
      <c r="F348" t="s">
        <v>102</v>
      </c>
      <c r="G348">
        <v>23</v>
      </c>
      <c r="H348" t="s">
        <v>109</v>
      </c>
      <c r="I348" t="s">
        <v>143</v>
      </c>
      <c r="J348" t="s">
        <v>75</v>
      </c>
      <c r="K348" t="s">
        <v>36</v>
      </c>
      <c r="L348" t="s">
        <v>59</v>
      </c>
      <c r="M348" t="s">
        <v>129</v>
      </c>
      <c r="N348" t="s">
        <v>129</v>
      </c>
      <c r="O348" t="s">
        <v>129</v>
      </c>
      <c r="P348" t="s">
        <v>129</v>
      </c>
      <c r="Q348">
        <v>6</v>
      </c>
      <c r="R348">
        <v>38490</v>
      </c>
    </row>
    <row r="349" spans="1:18" x14ac:dyDescent="0.25">
      <c r="A349">
        <v>60000348</v>
      </c>
      <c r="B349">
        <v>35</v>
      </c>
      <c r="C349" t="s">
        <v>85</v>
      </c>
      <c r="D349" t="s">
        <v>87</v>
      </c>
      <c r="E349" t="s">
        <v>98</v>
      </c>
      <c r="F349" t="s">
        <v>102</v>
      </c>
      <c r="G349">
        <v>11</v>
      </c>
      <c r="H349" t="s">
        <v>108</v>
      </c>
      <c r="I349" t="s">
        <v>148</v>
      </c>
      <c r="J349" t="s">
        <v>21</v>
      </c>
      <c r="K349" t="s">
        <v>61</v>
      </c>
      <c r="L349" t="s">
        <v>128</v>
      </c>
      <c r="M349" t="s">
        <v>129</v>
      </c>
      <c r="N349" t="s">
        <v>130</v>
      </c>
      <c r="O349" t="s">
        <v>130</v>
      </c>
      <c r="P349" t="s">
        <v>129</v>
      </c>
      <c r="Q349">
        <v>7</v>
      </c>
      <c r="R349">
        <v>82763</v>
      </c>
    </row>
    <row r="350" spans="1:18" x14ac:dyDescent="0.25">
      <c r="A350">
        <v>60000349</v>
      </c>
      <c r="B350">
        <v>61</v>
      </c>
      <c r="C350" t="s">
        <v>85</v>
      </c>
      <c r="D350" t="s">
        <v>87</v>
      </c>
      <c r="E350" t="s">
        <v>5</v>
      </c>
      <c r="F350" t="s">
        <v>102</v>
      </c>
      <c r="G350">
        <v>36</v>
      </c>
      <c r="H350" t="s">
        <v>111</v>
      </c>
      <c r="I350" t="s">
        <v>146</v>
      </c>
      <c r="J350" t="s">
        <v>23</v>
      </c>
      <c r="K350" t="s">
        <v>40</v>
      </c>
      <c r="L350" t="s">
        <v>10</v>
      </c>
      <c r="M350" t="s">
        <v>130</v>
      </c>
      <c r="N350" t="s">
        <v>130</v>
      </c>
      <c r="O350" t="s">
        <v>129</v>
      </c>
      <c r="P350" t="s">
        <v>129</v>
      </c>
      <c r="Q350">
        <v>3</v>
      </c>
      <c r="R350">
        <v>43345</v>
      </c>
    </row>
    <row r="351" spans="1:18" x14ac:dyDescent="0.25">
      <c r="A351">
        <v>60000350</v>
      </c>
      <c r="B351">
        <v>42</v>
      </c>
      <c r="C351" t="s">
        <v>86</v>
      </c>
      <c r="D351" t="s">
        <v>87</v>
      </c>
      <c r="E351" t="s">
        <v>98</v>
      </c>
      <c r="F351" t="s">
        <v>102</v>
      </c>
      <c r="G351">
        <v>32</v>
      </c>
      <c r="H351" t="s">
        <v>111</v>
      </c>
      <c r="I351" t="s">
        <v>139</v>
      </c>
      <c r="J351" t="s">
        <v>62</v>
      </c>
      <c r="K351" t="s">
        <v>35</v>
      </c>
      <c r="L351" t="s">
        <v>128</v>
      </c>
      <c r="M351" t="s">
        <v>130</v>
      </c>
      <c r="N351" t="s">
        <v>130</v>
      </c>
      <c r="O351" t="s">
        <v>129</v>
      </c>
      <c r="P351" t="s">
        <v>130</v>
      </c>
      <c r="Q351">
        <v>0</v>
      </c>
      <c r="R351">
        <v>24990</v>
      </c>
    </row>
    <row r="352" spans="1:18" x14ac:dyDescent="0.25">
      <c r="A352">
        <v>60000351</v>
      </c>
      <c r="B352">
        <v>63</v>
      </c>
      <c r="C352" t="s">
        <v>85</v>
      </c>
      <c r="D352" t="s">
        <v>87</v>
      </c>
      <c r="E352" t="s">
        <v>100</v>
      </c>
      <c r="F352" t="s">
        <v>102</v>
      </c>
      <c r="G352">
        <v>18</v>
      </c>
      <c r="H352" t="s">
        <v>132</v>
      </c>
      <c r="I352" t="s">
        <v>22</v>
      </c>
      <c r="J352" t="s">
        <v>23</v>
      </c>
      <c r="K352" t="s">
        <v>39</v>
      </c>
      <c r="L352" t="s">
        <v>128</v>
      </c>
      <c r="M352" t="s">
        <v>129</v>
      </c>
      <c r="N352" t="s">
        <v>130</v>
      </c>
      <c r="O352" t="s">
        <v>130</v>
      </c>
      <c r="P352" t="s">
        <v>130</v>
      </c>
      <c r="Q352">
        <v>0</v>
      </c>
      <c r="R352">
        <v>25961</v>
      </c>
    </row>
    <row r="353" spans="1:18" x14ac:dyDescent="0.25">
      <c r="A353">
        <v>60000352</v>
      </c>
      <c r="B353">
        <v>34</v>
      </c>
      <c r="C353" t="s">
        <v>85</v>
      </c>
      <c r="D353" t="s">
        <v>87</v>
      </c>
      <c r="E353" t="s">
        <v>97</v>
      </c>
      <c r="F353" t="s">
        <v>102</v>
      </c>
      <c r="G353">
        <v>38</v>
      </c>
      <c r="H353" t="s">
        <v>111</v>
      </c>
      <c r="I353" t="s">
        <v>11</v>
      </c>
      <c r="J353" t="s">
        <v>12</v>
      </c>
      <c r="K353" t="s">
        <v>44</v>
      </c>
      <c r="L353" t="s">
        <v>10</v>
      </c>
      <c r="M353" t="s">
        <v>129</v>
      </c>
      <c r="N353" t="s">
        <v>130</v>
      </c>
      <c r="O353" t="s">
        <v>129</v>
      </c>
      <c r="P353" t="s">
        <v>129</v>
      </c>
      <c r="Q353">
        <v>4</v>
      </c>
      <c r="R353">
        <v>37228</v>
      </c>
    </row>
    <row r="354" spans="1:18" x14ac:dyDescent="0.25">
      <c r="A354">
        <v>60000353</v>
      </c>
      <c r="B354">
        <v>48</v>
      </c>
      <c r="C354" t="s">
        <v>86</v>
      </c>
      <c r="D354" t="s">
        <v>87</v>
      </c>
      <c r="E354" t="s">
        <v>92</v>
      </c>
      <c r="F354" t="s">
        <v>102</v>
      </c>
      <c r="G354">
        <v>29</v>
      </c>
      <c r="H354" t="s">
        <v>110</v>
      </c>
      <c r="I354" t="s">
        <v>139</v>
      </c>
      <c r="J354" t="s">
        <v>16</v>
      </c>
      <c r="K354" t="s">
        <v>26</v>
      </c>
      <c r="L354" t="s">
        <v>59</v>
      </c>
      <c r="M354" t="s">
        <v>130</v>
      </c>
      <c r="N354" t="s">
        <v>130</v>
      </c>
      <c r="O354" t="s">
        <v>129</v>
      </c>
      <c r="P354" t="s">
        <v>130</v>
      </c>
      <c r="Q354">
        <v>0</v>
      </c>
      <c r="R354">
        <v>26244</v>
      </c>
    </row>
    <row r="355" spans="1:18" x14ac:dyDescent="0.25">
      <c r="A355">
        <v>60000354</v>
      </c>
      <c r="B355">
        <v>53</v>
      </c>
      <c r="C355" t="s">
        <v>85</v>
      </c>
      <c r="D355" t="s">
        <v>87</v>
      </c>
      <c r="E355" t="s">
        <v>5</v>
      </c>
      <c r="F355" t="s">
        <v>102</v>
      </c>
      <c r="G355">
        <v>35</v>
      </c>
      <c r="H355" t="s">
        <v>111</v>
      </c>
      <c r="I355" t="s">
        <v>149</v>
      </c>
      <c r="J355" t="s">
        <v>18</v>
      </c>
      <c r="K355" t="s">
        <v>54</v>
      </c>
      <c r="L355" t="s">
        <v>128</v>
      </c>
      <c r="M355" t="s">
        <v>130</v>
      </c>
      <c r="N355" t="s">
        <v>129</v>
      </c>
      <c r="O355" t="s">
        <v>130</v>
      </c>
      <c r="P355" t="s">
        <v>129</v>
      </c>
      <c r="Q355">
        <v>6</v>
      </c>
      <c r="R355">
        <v>69760</v>
      </c>
    </row>
    <row r="356" spans="1:18" x14ac:dyDescent="0.25">
      <c r="A356">
        <v>60000355</v>
      </c>
      <c r="B356">
        <v>52</v>
      </c>
      <c r="C356" t="s">
        <v>85</v>
      </c>
      <c r="D356" t="s">
        <v>88</v>
      </c>
      <c r="E356" t="s">
        <v>92</v>
      </c>
      <c r="F356" t="s">
        <v>102</v>
      </c>
      <c r="G356">
        <v>36</v>
      </c>
      <c r="H356" t="s">
        <v>111</v>
      </c>
      <c r="I356" t="s">
        <v>29</v>
      </c>
      <c r="J356" t="s">
        <v>18</v>
      </c>
      <c r="K356" t="s">
        <v>74</v>
      </c>
      <c r="L356" t="s">
        <v>10</v>
      </c>
      <c r="M356" t="s">
        <v>130</v>
      </c>
      <c r="N356" t="s">
        <v>129</v>
      </c>
      <c r="O356" t="s">
        <v>130</v>
      </c>
      <c r="P356" t="s">
        <v>129</v>
      </c>
      <c r="Q356">
        <v>2</v>
      </c>
      <c r="R356">
        <v>49433</v>
      </c>
    </row>
    <row r="357" spans="1:18" x14ac:dyDescent="0.25">
      <c r="A357">
        <v>60000356</v>
      </c>
      <c r="B357">
        <v>30</v>
      </c>
      <c r="C357" t="s">
        <v>86</v>
      </c>
      <c r="D357" t="s">
        <v>87</v>
      </c>
      <c r="E357" t="s">
        <v>100</v>
      </c>
      <c r="F357" t="s">
        <v>102</v>
      </c>
      <c r="G357">
        <v>37</v>
      </c>
      <c r="H357" t="s">
        <v>111</v>
      </c>
      <c r="I357" t="s">
        <v>144</v>
      </c>
      <c r="J357" t="s">
        <v>47</v>
      </c>
      <c r="K357" t="s">
        <v>33</v>
      </c>
      <c r="L357" t="s">
        <v>10</v>
      </c>
      <c r="M357" t="s">
        <v>130</v>
      </c>
      <c r="N357" t="s">
        <v>129</v>
      </c>
      <c r="O357" t="s">
        <v>129</v>
      </c>
      <c r="P357" t="s">
        <v>130</v>
      </c>
      <c r="Q357">
        <v>0</v>
      </c>
      <c r="R357">
        <v>32841</v>
      </c>
    </row>
    <row r="358" spans="1:18" x14ac:dyDescent="0.25">
      <c r="A358">
        <v>60000357</v>
      </c>
      <c r="B358">
        <v>55</v>
      </c>
      <c r="C358" t="s">
        <v>85</v>
      </c>
      <c r="D358" t="s">
        <v>88</v>
      </c>
      <c r="E358" t="s">
        <v>90</v>
      </c>
      <c r="F358" t="s">
        <v>102</v>
      </c>
      <c r="G358">
        <v>35</v>
      </c>
      <c r="H358" t="s">
        <v>111</v>
      </c>
      <c r="I358" t="s">
        <v>55</v>
      </c>
      <c r="J358" t="s">
        <v>9</v>
      </c>
      <c r="K358" t="s">
        <v>36</v>
      </c>
      <c r="L358" t="s">
        <v>10</v>
      </c>
      <c r="M358" t="s">
        <v>129</v>
      </c>
      <c r="N358" t="s">
        <v>129</v>
      </c>
      <c r="O358" t="s">
        <v>129</v>
      </c>
      <c r="P358" t="s">
        <v>130</v>
      </c>
      <c r="Q358">
        <v>0</v>
      </c>
      <c r="R358">
        <v>26497</v>
      </c>
    </row>
    <row r="359" spans="1:18" x14ac:dyDescent="0.25">
      <c r="A359">
        <v>60000358</v>
      </c>
      <c r="B359">
        <v>42</v>
      </c>
      <c r="C359" t="s">
        <v>85</v>
      </c>
      <c r="D359" t="s">
        <v>87</v>
      </c>
      <c r="E359" t="s">
        <v>97</v>
      </c>
      <c r="F359" t="s">
        <v>102</v>
      </c>
      <c r="G359">
        <v>37</v>
      </c>
      <c r="H359" t="s">
        <v>111</v>
      </c>
      <c r="I359" t="s">
        <v>11</v>
      </c>
      <c r="J359" t="s">
        <v>16</v>
      </c>
      <c r="K359" t="s">
        <v>67</v>
      </c>
      <c r="L359" t="s">
        <v>10</v>
      </c>
      <c r="M359" t="s">
        <v>130</v>
      </c>
      <c r="N359" t="s">
        <v>129</v>
      </c>
      <c r="O359" t="s">
        <v>130</v>
      </c>
      <c r="P359" t="s">
        <v>129</v>
      </c>
      <c r="Q359">
        <v>3</v>
      </c>
      <c r="R359">
        <v>24475</v>
      </c>
    </row>
    <row r="360" spans="1:18" x14ac:dyDescent="0.25">
      <c r="A360">
        <v>60000359</v>
      </c>
      <c r="B360">
        <v>60</v>
      </c>
      <c r="C360" t="s">
        <v>85</v>
      </c>
      <c r="D360" t="s">
        <v>87</v>
      </c>
      <c r="E360" t="s">
        <v>97</v>
      </c>
      <c r="F360" t="s">
        <v>102</v>
      </c>
      <c r="G360">
        <v>35</v>
      </c>
      <c r="H360" t="s">
        <v>111</v>
      </c>
      <c r="I360" t="s">
        <v>147</v>
      </c>
      <c r="J360" t="s">
        <v>32</v>
      </c>
      <c r="K360" t="s">
        <v>29</v>
      </c>
      <c r="L360" t="s">
        <v>128</v>
      </c>
      <c r="M360" t="s">
        <v>130</v>
      </c>
      <c r="N360" t="s">
        <v>130</v>
      </c>
      <c r="O360" t="s">
        <v>130</v>
      </c>
      <c r="P360" t="s">
        <v>130</v>
      </c>
      <c r="Q360">
        <v>0</v>
      </c>
      <c r="R360">
        <v>61193</v>
      </c>
    </row>
    <row r="361" spans="1:18" x14ac:dyDescent="0.25">
      <c r="A361">
        <v>60000360</v>
      </c>
      <c r="B361">
        <v>36</v>
      </c>
      <c r="C361" t="s">
        <v>86</v>
      </c>
      <c r="D361" t="s">
        <v>88</v>
      </c>
      <c r="E361" t="s">
        <v>95</v>
      </c>
      <c r="F361" t="s">
        <v>102</v>
      </c>
      <c r="G361">
        <v>14</v>
      </c>
      <c r="H361" t="s">
        <v>132</v>
      </c>
      <c r="I361" t="s">
        <v>148</v>
      </c>
      <c r="J361" t="s">
        <v>62</v>
      </c>
      <c r="K361" t="s">
        <v>34</v>
      </c>
      <c r="L361" t="s">
        <v>10</v>
      </c>
      <c r="M361" t="s">
        <v>129</v>
      </c>
      <c r="N361" t="s">
        <v>130</v>
      </c>
      <c r="O361" t="s">
        <v>130</v>
      </c>
      <c r="P361" t="s">
        <v>129</v>
      </c>
      <c r="Q361">
        <v>6</v>
      </c>
      <c r="R361">
        <v>55051</v>
      </c>
    </row>
    <row r="362" spans="1:18" x14ac:dyDescent="0.25">
      <c r="A362">
        <v>60000361</v>
      </c>
      <c r="B362">
        <v>42</v>
      </c>
      <c r="C362" t="s">
        <v>85</v>
      </c>
      <c r="D362" t="s">
        <v>87</v>
      </c>
      <c r="E362" t="s">
        <v>100</v>
      </c>
      <c r="F362" t="s">
        <v>102</v>
      </c>
      <c r="G362">
        <v>28</v>
      </c>
      <c r="H362" t="s">
        <v>110</v>
      </c>
      <c r="I362" t="s">
        <v>140</v>
      </c>
      <c r="J362" t="s">
        <v>32</v>
      </c>
      <c r="K362" t="s">
        <v>57</v>
      </c>
      <c r="L362" t="s">
        <v>59</v>
      </c>
      <c r="M362" t="s">
        <v>130</v>
      </c>
      <c r="N362" t="s">
        <v>130</v>
      </c>
      <c r="O362" t="s">
        <v>130</v>
      </c>
      <c r="P362" t="s">
        <v>130</v>
      </c>
      <c r="Q362">
        <v>0</v>
      </c>
      <c r="R362">
        <v>36268</v>
      </c>
    </row>
    <row r="363" spans="1:18" x14ac:dyDescent="0.25">
      <c r="A363">
        <v>60000362</v>
      </c>
      <c r="B363">
        <v>26</v>
      </c>
      <c r="C363" t="s">
        <v>85</v>
      </c>
      <c r="D363" t="s">
        <v>88</v>
      </c>
      <c r="E363" t="s">
        <v>100</v>
      </c>
      <c r="F363" t="s">
        <v>102</v>
      </c>
      <c r="G363">
        <v>21</v>
      </c>
      <c r="H363" t="s">
        <v>109</v>
      </c>
      <c r="I363" t="s">
        <v>145</v>
      </c>
      <c r="J363" t="s">
        <v>18</v>
      </c>
      <c r="K363" t="s">
        <v>51</v>
      </c>
      <c r="L363" t="s">
        <v>128</v>
      </c>
      <c r="M363" t="s">
        <v>130</v>
      </c>
      <c r="N363" t="s">
        <v>130</v>
      </c>
      <c r="O363" t="s">
        <v>129</v>
      </c>
      <c r="P363" t="s">
        <v>129</v>
      </c>
      <c r="Q363">
        <v>5</v>
      </c>
      <c r="R363">
        <v>62522</v>
      </c>
    </row>
    <row r="364" spans="1:18" x14ac:dyDescent="0.25">
      <c r="A364">
        <v>60000363</v>
      </c>
      <c r="B364">
        <v>56</v>
      </c>
      <c r="C364" t="s">
        <v>85</v>
      </c>
      <c r="D364" t="s">
        <v>88</v>
      </c>
      <c r="E364" t="s">
        <v>96</v>
      </c>
      <c r="F364" t="s">
        <v>102</v>
      </c>
      <c r="G364">
        <v>16</v>
      </c>
      <c r="H364" t="s">
        <v>132</v>
      </c>
      <c r="I364" t="s">
        <v>146</v>
      </c>
      <c r="J364" t="s">
        <v>16</v>
      </c>
      <c r="K364" t="s">
        <v>33</v>
      </c>
      <c r="L364" t="s">
        <v>10</v>
      </c>
      <c r="M364" t="s">
        <v>129</v>
      </c>
      <c r="N364" t="s">
        <v>130</v>
      </c>
      <c r="O364" t="s">
        <v>129</v>
      </c>
      <c r="P364" t="s">
        <v>130</v>
      </c>
      <c r="Q364">
        <v>0</v>
      </c>
      <c r="R364">
        <v>74630</v>
      </c>
    </row>
    <row r="365" spans="1:18" x14ac:dyDescent="0.25">
      <c r="A365">
        <v>60000364</v>
      </c>
      <c r="B365">
        <v>28</v>
      </c>
      <c r="C365" t="s">
        <v>85</v>
      </c>
      <c r="D365" t="s">
        <v>88</v>
      </c>
      <c r="E365" t="s">
        <v>91</v>
      </c>
      <c r="F365" t="s">
        <v>102</v>
      </c>
      <c r="G365">
        <v>14</v>
      </c>
      <c r="H365" t="s">
        <v>132</v>
      </c>
      <c r="I365" t="s">
        <v>29</v>
      </c>
      <c r="J365" t="s">
        <v>18</v>
      </c>
      <c r="K365" t="s">
        <v>42</v>
      </c>
      <c r="L365" t="s">
        <v>128</v>
      </c>
      <c r="M365" t="s">
        <v>130</v>
      </c>
      <c r="N365" t="s">
        <v>130</v>
      </c>
      <c r="O365" t="s">
        <v>129</v>
      </c>
      <c r="P365" t="s">
        <v>129</v>
      </c>
      <c r="Q365">
        <v>0</v>
      </c>
      <c r="R365">
        <v>39889</v>
      </c>
    </row>
    <row r="366" spans="1:18" x14ac:dyDescent="0.25">
      <c r="A366">
        <v>60000365</v>
      </c>
      <c r="B366">
        <v>37</v>
      </c>
      <c r="C366" t="s">
        <v>86</v>
      </c>
      <c r="D366" t="s">
        <v>88</v>
      </c>
      <c r="E366" t="s">
        <v>90</v>
      </c>
      <c r="F366" t="s">
        <v>102</v>
      </c>
      <c r="G366">
        <v>29</v>
      </c>
      <c r="H366" t="s">
        <v>110</v>
      </c>
      <c r="I366" t="s">
        <v>140</v>
      </c>
      <c r="J366" t="s">
        <v>47</v>
      </c>
      <c r="K366" t="s">
        <v>28</v>
      </c>
      <c r="L366" t="s">
        <v>59</v>
      </c>
      <c r="M366" t="s">
        <v>130</v>
      </c>
      <c r="N366" t="s">
        <v>129</v>
      </c>
      <c r="O366" t="s">
        <v>129</v>
      </c>
      <c r="P366" t="s">
        <v>129</v>
      </c>
      <c r="Q366">
        <v>5</v>
      </c>
      <c r="R366">
        <v>27928</v>
      </c>
    </row>
    <row r="367" spans="1:18" x14ac:dyDescent="0.25">
      <c r="A367">
        <v>60000366</v>
      </c>
      <c r="B367">
        <v>60</v>
      </c>
      <c r="C367" t="s">
        <v>85</v>
      </c>
      <c r="D367" t="s">
        <v>88</v>
      </c>
      <c r="E367" t="s">
        <v>99</v>
      </c>
      <c r="F367" t="s">
        <v>102</v>
      </c>
      <c r="G367">
        <v>25</v>
      </c>
      <c r="H367" t="s">
        <v>110</v>
      </c>
      <c r="I367" t="s">
        <v>55</v>
      </c>
      <c r="J367" t="s">
        <v>18</v>
      </c>
      <c r="K367" t="s">
        <v>17</v>
      </c>
      <c r="L367" t="s">
        <v>10</v>
      </c>
      <c r="M367" t="s">
        <v>130</v>
      </c>
      <c r="N367" t="s">
        <v>130</v>
      </c>
      <c r="O367" t="s">
        <v>129</v>
      </c>
      <c r="P367" t="s">
        <v>129</v>
      </c>
      <c r="Q367">
        <v>1</v>
      </c>
      <c r="R367">
        <v>49493</v>
      </c>
    </row>
    <row r="368" spans="1:18" x14ac:dyDescent="0.25">
      <c r="A368">
        <v>60000367</v>
      </c>
      <c r="B368">
        <v>44</v>
      </c>
      <c r="C368" t="s">
        <v>85</v>
      </c>
      <c r="D368" t="s">
        <v>88</v>
      </c>
      <c r="E368" t="s">
        <v>97</v>
      </c>
      <c r="F368" t="s">
        <v>102</v>
      </c>
      <c r="G368">
        <v>16</v>
      </c>
      <c r="H368" t="s">
        <v>132</v>
      </c>
      <c r="I368" t="s">
        <v>22</v>
      </c>
      <c r="J368" t="s">
        <v>14</v>
      </c>
      <c r="K368" t="s">
        <v>64</v>
      </c>
      <c r="L368" t="s">
        <v>10</v>
      </c>
      <c r="M368" t="s">
        <v>129</v>
      </c>
      <c r="N368" t="s">
        <v>130</v>
      </c>
      <c r="O368" t="s">
        <v>130</v>
      </c>
      <c r="P368" t="s">
        <v>130</v>
      </c>
      <c r="Q368">
        <v>0</v>
      </c>
      <c r="R368">
        <v>64826</v>
      </c>
    </row>
    <row r="369" spans="1:18" x14ac:dyDescent="0.25">
      <c r="A369">
        <v>60000368</v>
      </c>
      <c r="B369">
        <v>36</v>
      </c>
      <c r="C369" t="s">
        <v>85</v>
      </c>
      <c r="D369" t="s">
        <v>87</v>
      </c>
      <c r="E369" t="s">
        <v>93</v>
      </c>
      <c r="F369" t="s">
        <v>102</v>
      </c>
      <c r="G369">
        <v>14</v>
      </c>
      <c r="H369" t="s">
        <v>132</v>
      </c>
      <c r="I369" t="s">
        <v>140</v>
      </c>
      <c r="J369" t="s">
        <v>75</v>
      </c>
      <c r="K369" t="s">
        <v>65</v>
      </c>
      <c r="L369" t="s">
        <v>128</v>
      </c>
      <c r="M369" t="s">
        <v>129</v>
      </c>
      <c r="N369" t="s">
        <v>130</v>
      </c>
      <c r="O369" t="s">
        <v>130</v>
      </c>
      <c r="P369" t="s">
        <v>129</v>
      </c>
      <c r="Q369">
        <v>3</v>
      </c>
      <c r="R369">
        <v>54304</v>
      </c>
    </row>
    <row r="370" spans="1:18" x14ac:dyDescent="0.25">
      <c r="A370">
        <v>60000369</v>
      </c>
      <c r="B370">
        <v>56</v>
      </c>
      <c r="C370" t="s">
        <v>86</v>
      </c>
      <c r="D370" t="s">
        <v>88</v>
      </c>
      <c r="E370" t="s">
        <v>93</v>
      </c>
      <c r="F370" t="s">
        <v>102</v>
      </c>
      <c r="G370">
        <v>29</v>
      </c>
      <c r="H370" t="s">
        <v>110</v>
      </c>
      <c r="I370" t="s">
        <v>140</v>
      </c>
      <c r="J370" t="s">
        <v>18</v>
      </c>
      <c r="K370" t="s">
        <v>57</v>
      </c>
      <c r="L370" t="s">
        <v>128</v>
      </c>
      <c r="M370" t="s">
        <v>129</v>
      </c>
      <c r="N370" t="s">
        <v>129</v>
      </c>
      <c r="O370" t="s">
        <v>129</v>
      </c>
      <c r="P370" t="s">
        <v>130</v>
      </c>
      <c r="Q370">
        <v>0</v>
      </c>
      <c r="R370">
        <v>80617</v>
      </c>
    </row>
    <row r="371" spans="1:18" x14ac:dyDescent="0.25">
      <c r="A371">
        <v>60000370</v>
      </c>
      <c r="B371">
        <v>26</v>
      </c>
      <c r="C371" t="s">
        <v>85</v>
      </c>
      <c r="D371" t="s">
        <v>87</v>
      </c>
      <c r="E371" t="s">
        <v>98</v>
      </c>
      <c r="F371" t="s">
        <v>102</v>
      </c>
      <c r="G371">
        <v>19</v>
      </c>
      <c r="H371" t="s">
        <v>109</v>
      </c>
      <c r="I371" t="s">
        <v>146</v>
      </c>
      <c r="J371" t="s">
        <v>32</v>
      </c>
      <c r="K371" t="s">
        <v>68</v>
      </c>
      <c r="L371" t="s">
        <v>128</v>
      </c>
      <c r="M371" t="s">
        <v>129</v>
      </c>
      <c r="N371" t="s">
        <v>130</v>
      </c>
      <c r="O371" t="s">
        <v>130</v>
      </c>
      <c r="P371" t="s">
        <v>130</v>
      </c>
      <c r="Q371">
        <v>0</v>
      </c>
      <c r="R371">
        <v>74854</v>
      </c>
    </row>
    <row r="372" spans="1:18" x14ac:dyDescent="0.25">
      <c r="A372">
        <v>60000371</v>
      </c>
      <c r="B372">
        <v>46</v>
      </c>
      <c r="C372" t="s">
        <v>86</v>
      </c>
      <c r="D372" t="s">
        <v>88</v>
      </c>
      <c r="E372" t="s">
        <v>90</v>
      </c>
      <c r="F372" t="s">
        <v>102</v>
      </c>
      <c r="G372">
        <v>16</v>
      </c>
      <c r="H372" t="s">
        <v>132</v>
      </c>
      <c r="I372" t="s">
        <v>149</v>
      </c>
      <c r="J372" t="s">
        <v>75</v>
      </c>
      <c r="K372" t="s">
        <v>71</v>
      </c>
      <c r="L372" t="s">
        <v>59</v>
      </c>
      <c r="M372" t="s">
        <v>130</v>
      </c>
      <c r="N372" t="s">
        <v>129</v>
      </c>
      <c r="O372" t="s">
        <v>130</v>
      </c>
      <c r="P372" t="s">
        <v>130</v>
      </c>
      <c r="Q372">
        <v>0</v>
      </c>
      <c r="R372">
        <v>49343</v>
      </c>
    </row>
    <row r="373" spans="1:18" x14ac:dyDescent="0.25">
      <c r="A373">
        <v>60000372</v>
      </c>
      <c r="B373">
        <v>31</v>
      </c>
      <c r="C373" t="s">
        <v>86</v>
      </c>
      <c r="D373" t="s">
        <v>88</v>
      </c>
      <c r="E373" t="s">
        <v>97</v>
      </c>
      <c r="F373" t="s">
        <v>102</v>
      </c>
      <c r="G373">
        <v>16</v>
      </c>
      <c r="H373" t="s">
        <v>132</v>
      </c>
      <c r="I373" t="s">
        <v>148</v>
      </c>
      <c r="J373" t="s">
        <v>14</v>
      </c>
      <c r="K373" t="s">
        <v>36</v>
      </c>
      <c r="L373" t="s">
        <v>128</v>
      </c>
      <c r="M373" t="s">
        <v>130</v>
      </c>
      <c r="N373" t="s">
        <v>130</v>
      </c>
      <c r="O373" t="s">
        <v>129</v>
      </c>
      <c r="P373" t="s">
        <v>129</v>
      </c>
      <c r="Q373">
        <v>4</v>
      </c>
      <c r="R373">
        <v>80425</v>
      </c>
    </row>
    <row r="374" spans="1:18" x14ac:dyDescent="0.25">
      <c r="A374">
        <v>60000373</v>
      </c>
      <c r="B374">
        <v>21</v>
      </c>
      <c r="C374" t="s">
        <v>86</v>
      </c>
      <c r="D374" t="s">
        <v>87</v>
      </c>
      <c r="E374" t="s">
        <v>91</v>
      </c>
      <c r="F374" t="s">
        <v>102</v>
      </c>
      <c r="G374">
        <v>19</v>
      </c>
      <c r="H374" t="s">
        <v>109</v>
      </c>
      <c r="I374" t="s">
        <v>50</v>
      </c>
      <c r="J374" t="s">
        <v>12</v>
      </c>
      <c r="K374" t="s">
        <v>63</v>
      </c>
      <c r="L374" t="s">
        <v>10</v>
      </c>
      <c r="M374" t="s">
        <v>129</v>
      </c>
      <c r="N374" t="s">
        <v>130</v>
      </c>
      <c r="O374" t="s">
        <v>130</v>
      </c>
      <c r="P374" t="s">
        <v>129</v>
      </c>
      <c r="Q374">
        <v>0</v>
      </c>
      <c r="R374">
        <v>28635</v>
      </c>
    </row>
    <row r="375" spans="1:18" x14ac:dyDescent="0.25">
      <c r="A375">
        <v>60000374</v>
      </c>
      <c r="B375">
        <v>51</v>
      </c>
      <c r="C375" t="s">
        <v>85</v>
      </c>
      <c r="D375" t="s">
        <v>87</v>
      </c>
      <c r="E375" t="s">
        <v>96</v>
      </c>
      <c r="F375" t="s">
        <v>102</v>
      </c>
      <c r="G375">
        <v>26</v>
      </c>
      <c r="H375" t="s">
        <v>110</v>
      </c>
      <c r="I375" t="s">
        <v>29</v>
      </c>
      <c r="J375" t="s">
        <v>75</v>
      </c>
      <c r="K375" t="s">
        <v>38</v>
      </c>
      <c r="L375" t="s">
        <v>128</v>
      </c>
      <c r="M375" t="s">
        <v>130</v>
      </c>
      <c r="N375" t="s">
        <v>130</v>
      </c>
      <c r="O375" t="s">
        <v>129</v>
      </c>
      <c r="P375" t="s">
        <v>130</v>
      </c>
      <c r="Q375">
        <v>0</v>
      </c>
      <c r="R375">
        <v>28074</v>
      </c>
    </row>
    <row r="376" spans="1:18" x14ac:dyDescent="0.25">
      <c r="A376">
        <v>60000375</v>
      </c>
      <c r="B376">
        <v>64</v>
      </c>
      <c r="C376" t="s">
        <v>86</v>
      </c>
      <c r="D376" t="s">
        <v>87</v>
      </c>
      <c r="E376" t="s">
        <v>91</v>
      </c>
      <c r="F376" t="s">
        <v>102</v>
      </c>
      <c r="G376">
        <v>34</v>
      </c>
      <c r="H376" t="s">
        <v>111</v>
      </c>
      <c r="I376" t="s">
        <v>29</v>
      </c>
      <c r="J376" t="s">
        <v>47</v>
      </c>
      <c r="K376" t="s">
        <v>72</v>
      </c>
      <c r="L376" t="s">
        <v>59</v>
      </c>
      <c r="M376" t="s">
        <v>130</v>
      </c>
      <c r="N376" t="s">
        <v>130</v>
      </c>
      <c r="O376" t="s">
        <v>130</v>
      </c>
      <c r="P376" t="s">
        <v>129</v>
      </c>
      <c r="Q376">
        <v>3</v>
      </c>
      <c r="R376">
        <v>68445</v>
      </c>
    </row>
    <row r="377" spans="1:18" x14ac:dyDescent="0.25">
      <c r="A377">
        <v>60000376</v>
      </c>
      <c r="B377">
        <v>21</v>
      </c>
      <c r="C377" t="s">
        <v>86</v>
      </c>
      <c r="D377" t="s">
        <v>88</v>
      </c>
      <c r="E377" t="s">
        <v>92</v>
      </c>
      <c r="F377" t="s">
        <v>102</v>
      </c>
      <c r="G377">
        <v>25</v>
      </c>
      <c r="H377" t="s">
        <v>110</v>
      </c>
      <c r="I377" t="s">
        <v>55</v>
      </c>
      <c r="J377" t="s">
        <v>75</v>
      </c>
      <c r="K377" t="s">
        <v>15</v>
      </c>
      <c r="L377" t="s">
        <v>59</v>
      </c>
      <c r="M377" t="s">
        <v>129</v>
      </c>
      <c r="N377" t="s">
        <v>129</v>
      </c>
      <c r="O377" t="s">
        <v>130</v>
      </c>
      <c r="P377" t="s">
        <v>130</v>
      </c>
      <c r="Q377">
        <v>0</v>
      </c>
      <c r="R377">
        <v>84067</v>
      </c>
    </row>
    <row r="378" spans="1:18" x14ac:dyDescent="0.25">
      <c r="A378">
        <v>60000377</v>
      </c>
      <c r="B378">
        <v>50</v>
      </c>
      <c r="C378" t="s">
        <v>85</v>
      </c>
      <c r="D378" t="s">
        <v>88</v>
      </c>
      <c r="E378" t="s">
        <v>98</v>
      </c>
      <c r="F378" t="s">
        <v>102</v>
      </c>
      <c r="G378">
        <v>11</v>
      </c>
      <c r="H378" t="s">
        <v>108</v>
      </c>
      <c r="I378" t="s">
        <v>141</v>
      </c>
      <c r="J378" t="s">
        <v>21</v>
      </c>
      <c r="K378" t="s">
        <v>70</v>
      </c>
      <c r="L378" t="s">
        <v>10</v>
      </c>
      <c r="M378" t="s">
        <v>130</v>
      </c>
      <c r="N378" t="s">
        <v>130</v>
      </c>
      <c r="O378" t="s">
        <v>130</v>
      </c>
      <c r="P378" t="s">
        <v>130</v>
      </c>
      <c r="Q378">
        <v>0</v>
      </c>
      <c r="R378">
        <v>83731</v>
      </c>
    </row>
    <row r="379" spans="1:18" x14ac:dyDescent="0.25">
      <c r="A379">
        <v>60000378</v>
      </c>
      <c r="B379">
        <v>39</v>
      </c>
      <c r="C379" t="s">
        <v>86</v>
      </c>
      <c r="D379" t="s">
        <v>88</v>
      </c>
      <c r="E379" t="s">
        <v>5</v>
      </c>
      <c r="F379" t="s">
        <v>102</v>
      </c>
      <c r="G379">
        <v>27</v>
      </c>
      <c r="H379" t="s">
        <v>110</v>
      </c>
      <c r="I379" t="s">
        <v>148</v>
      </c>
      <c r="J379" t="s">
        <v>47</v>
      </c>
      <c r="K379" t="s">
        <v>41</v>
      </c>
      <c r="L379" t="s">
        <v>10</v>
      </c>
      <c r="M379" t="s">
        <v>130</v>
      </c>
      <c r="N379" t="s">
        <v>129</v>
      </c>
      <c r="O379" t="s">
        <v>130</v>
      </c>
      <c r="P379" t="s">
        <v>129</v>
      </c>
      <c r="Q379">
        <v>1</v>
      </c>
      <c r="R379">
        <v>28557</v>
      </c>
    </row>
    <row r="380" spans="1:18" x14ac:dyDescent="0.25">
      <c r="A380">
        <v>60000379</v>
      </c>
      <c r="B380">
        <v>38</v>
      </c>
      <c r="C380" t="s">
        <v>86</v>
      </c>
      <c r="D380" t="s">
        <v>87</v>
      </c>
      <c r="E380" t="s">
        <v>98</v>
      </c>
      <c r="F380" t="s">
        <v>102</v>
      </c>
      <c r="G380">
        <v>35</v>
      </c>
      <c r="H380" t="s">
        <v>111</v>
      </c>
      <c r="I380" t="s">
        <v>144</v>
      </c>
      <c r="J380" t="s">
        <v>75</v>
      </c>
      <c r="K380" t="s">
        <v>73</v>
      </c>
      <c r="L380" t="s">
        <v>128</v>
      </c>
      <c r="M380" t="s">
        <v>129</v>
      </c>
      <c r="N380" t="s">
        <v>129</v>
      </c>
      <c r="O380" t="s">
        <v>130</v>
      </c>
      <c r="P380" t="s">
        <v>129</v>
      </c>
      <c r="Q380">
        <v>5</v>
      </c>
      <c r="R380">
        <v>79614</v>
      </c>
    </row>
    <row r="381" spans="1:18" x14ac:dyDescent="0.25">
      <c r="A381">
        <v>60000380</v>
      </c>
      <c r="B381">
        <v>34</v>
      </c>
      <c r="C381" t="s">
        <v>85</v>
      </c>
      <c r="D381" t="s">
        <v>87</v>
      </c>
      <c r="E381" t="s">
        <v>5</v>
      </c>
      <c r="F381" t="s">
        <v>102</v>
      </c>
      <c r="G381">
        <v>30</v>
      </c>
      <c r="H381" t="s">
        <v>110</v>
      </c>
      <c r="I381" t="s">
        <v>141</v>
      </c>
      <c r="J381" t="s">
        <v>18</v>
      </c>
      <c r="K381" t="s">
        <v>72</v>
      </c>
      <c r="L381" t="s">
        <v>59</v>
      </c>
      <c r="M381" t="s">
        <v>130</v>
      </c>
      <c r="N381" t="s">
        <v>129</v>
      </c>
      <c r="O381" t="s">
        <v>130</v>
      </c>
      <c r="P381" t="s">
        <v>130</v>
      </c>
      <c r="Q381">
        <v>0</v>
      </c>
      <c r="R381">
        <v>54684</v>
      </c>
    </row>
    <row r="382" spans="1:18" x14ac:dyDescent="0.25">
      <c r="A382">
        <v>60000381</v>
      </c>
      <c r="B382">
        <v>57</v>
      </c>
      <c r="C382" t="s">
        <v>86</v>
      </c>
      <c r="D382" t="s">
        <v>87</v>
      </c>
      <c r="E382" t="s">
        <v>5</v>
      </c>
      <c r="F382" t="s">
        <v>102</v>
      </c>
      <c r="G382">
        <v>31</v>
      </c>
      <c r="H382" t="s">
        <v>110</v>
      </c>
      <c r="I382" t="s">
        <v>141</v>
      </c>
      <c r="J382" t="s">
        <v>16</v>
      </c>
      <c r="K382" t="s">
        <v>60</v>
      </c>
      <c r="L382" t="s">
        <v>128</v>
      </c>
      <c r="M382" t="s">
        <v>129</v>
      </c>
      <c r="N382" t="s">
        <v>130</v>
      </c>
      <c r="O382" t="s">
        <v>129</v>
      </c>
      <c r="P382" t="s">
        <v>129</v>
      </c>
      <c r="Q382">
        <v>7</v>
      </c>
      <c r="R382">
        <v>27227</v>
      </c>
    </row>
    <row r="383" spans="1:18" x14ac:dyDescent="0.25">
      <c r="A383">
        <v>60000382</v>
      </c>
      <c r="B383">
        <v>47</v>
      </c>
      <c r="C383" t="s">
        <v>86</v>
      </c>
      <c r="D383" t="s">
        <v>87</v>
      </c>
      <c r="E383" t="s">
        <v>99</v>
      </c>
      <c r="F383" t="s">
        <v>102</v>
      </c>
      <c r="G383">
        <v>13</v>
      </c>
      <c r="H383" t="s">
        <v>132</v>
      </c>
      <c r="I383" t="s">
        <v>55</v>
      </c>
      <c r="J383" t="s">
        <v>14</v>
      </c>
      <c r="K383" t="s">
        <v>22</v>
      </c>
      <c r="L383" t="s">
        <v>59</v>
      </c>
      <c r="M383" t="s">
        <v>129</v>
      </c>
      <c r="N383" t="s">
        <v>129</v>
      </c>
      <c r="O383" t="s">
        <v>129</v>
      </c>
      <c r="P383" t="s">
        <v>130</v>
      </c>
      <c r="Q383">
        <v>0</v>
      </c>
      <c r="R383">
        <v>32045</v>
      </c>
    </row>
    <row r="384" spans="1:18" x14ac:dyDescent="0.25">
      <c r="A384">
        <v>60000383</v>
      </c>
      <c r="B384">
        <v>36</v>
      </c>
      <c r="C384" t="s">
        <v>85</v>
      </c>
      <c r="D384" t="s">
        <v>88</v>
      </c>
      <c r="E384" t="s">
        <v>97</v>
      </c>
      <c r="F384" t="s">
        <v>102</v>
      </c>
      <c r="G384">
        <v>28</v>
      </c>
      <c r="H384" t="s">
        <v>110</v>
      </c>
      <c r="I384" t="s">
        <v>139</v>
      </c>
      <c r="J384" t="s">
        <v>47</v>
      </c>
      <c r="K384" t="s">
        <v>39</v>
      </c>
      <c r="L384" t="s">
        <v>128</v>
      </c>
      <c r="M384" t="s">
        <v>129</v>
      </c>
      <c r="N384" t="s">
        <v>129</v>
      </c>
      <c r="O384" t="s">
        <v>129</v>
      </c>
      <c r="P384" t="s">
        <v>130</v>
      </c>
      <c r="Q384">
        <v>0</v>
      </c>
      <c r="R384">
        <v>25551</v>
      </c>
    </row>
    <row r="385" spans="1:18" x14ac:dyDescent="0.25">
      <c r="A385">
        <v>60000384</v>
      </c>
      <c r="B385">
        <v>21</v>
      </c>
      <c r="C385" t="s">
        <v>85</v>
      </c>
      <c r="D385" t="s">
        <v>88</v>
      </c>
      <c r="E385" t="s">
        <v>5</v>
      </c>
      <c r="F385" t="s">
        <v>102</v>
      </c>
      <c r="G385">
        <v>20</v>
      </c>
      <c r="H385" t="s">
        <v>109</v>
      </c>
      <c r="I385" t="s">
        <v>29</v>
      </c>
      <c r="J385" t="s">
        <v>14</v>
      </c>
      <c r="K385" t="s">
        <v>54</v>
      </c>
      <c r="L385" t="s">
        <v>10</v>
      </c>
      <c r="M385" t="s">
        <v>129</v>
      </c>
      <c r="N385" t="s">
        <v>129</v>
      </c>
      <c r="O385" t="s">
        <v>130</v>
      </c>
      <c r="P385" t="s">
        <v>130</v>
      </c>
      <c r="Q385">
        <v>0</v>
      </c>
      <c r="R385">
        <v>43464</v>
      </c>
    </row>
    <row r="386" spans="1:18" x14ac:dyDescent="0.25">
      <c r="A386">
        <v>60000385</v>
      </c>
      <c r="B386">
        <v>21</v>
      </c>
      <c r="C386" t="s">
        <v>86</v>
      </c>
      <c r="D386" t="s">
        <v>88</v>
      </c>
      <c r="E386" t="s">
        <v>97</v>
      </c>
      <c r="F386" t="s">
        <v>102</v>
      </c>
      <c r="G386">
        <v>30</v>
      </c>
      <c r="H386" t="s">
        <v>110</v>
      </c>
      <c r="I386" t="s">
        <v>150</v>
      </c>
      <c r="J386" t="s">
        <v>25</v>
      </c>
      <c r="K386" t="s">
        <v>22</v>
      </c>
      <c r="L386" t="s">
        <v>128</v>
      </c>
      <c r="M386" t="s">
        <v>130</v>
      </c>
      <c r="N386" t="s">
        <v>130</v>
      </c>
      <c r="O386" t="s">
        <v>130</v>
      </c>
      <c r="P386" t="s">
        <v>129</v>
      </c>
      <c r="Q386">
        <v>5</v>
      </c>
      <c r="R386">
        <v>41890</v>
      </c>
    </row>
    <row r="387" spans="1:18" x14ac:dyDescent="0.25">
      <c r="A387">
        <v>60000386</v>
      </c>
      <c r="B387">
        <v>36</v>
      </c>
      <c r="C387" t="s">
        <v>86</v>
      </c>
      <c r="D387" t="s">
        <v>87</v>
      </c>
      <c r="E387" t="s">
        <v>5</v>
      </c>
      <c r="F387" t="s">
        <v>102</v>
      </c>
      <c r="G387">
        <v>17</v>
      </c>
      <c r="H387" t="s">
        <v>132</v>
      </c>
      <c r="I387" t="s">
        <v>144</v>
      </c>
      <c r="J387" t="s">
        <v>32</v>
      </c>
      <c r="K387" t="s">
        <v>13</v>
      </c>
      <c r="L387" t="s">
        <v>59</v>
      </c>
      <c r="M387" t="s">
        <v>129</v>
      </c>
      <c r="N387" t="s">
        <v>130</v>
      </c>
      <c r="O387" t="s">
        <v>129</v>
      </c>
      <c r="P387" t="s">
        <v>129</v>
      </c>
      <c r="Q387">
        <v>7</v>
      </c>
      <c r="R387">
        <v>36063</v>
      </c>
    </row>
    <row r="388" spans="1:18" x14ac:dyDescent="0.25">
      <c r="A388">
        <v>60000387</v>
      </c>
      <c r="B388">
        <v>52</v>
      </c>
      <c r="C388" t="s">
        <v>85</v>
      </c>
      <c r="D388" t="s">
        <v>87</v>
      </c>
      <c r="E388" t="s">
        <v>97</v>
      </c>
      <c r="F388" t="s">
        <v>102</v>
      </c>
      <c r="G388">
        <v>24</v>
      </c>
      <c r="H388" t="s">
        <v>109</v>
      </c>
      <c r="I388" t="s">
        <v>141</v>
      </c>
      <c r="J388" t="s">
        <v>21</v>
      </c>
      <c r="K388" t="s">
        <v>29</v>
      </c>
      <c r="L388" t="s">
        <v>10</v>
      </c>
      <c r="M388" t="s">
        <v>129</v>
      </c>
      <c r="N388" t="s">
        <v>129</v>
      </c>
      <c r="O388" t="s">
        <v>129</v>
      </c>
      <c r="P388" t="s">
        <v>130</v>
      </c>
      <c r="Q388">
        <v>0</v>
      </c>
      <c r="R388">
        <v>80040</v>
      </c>
    </row>
    <row r="389" spans="1:18" x14ac:dyDescent="0.25">
      <c r="A389">
        <v>60000388</v>
      </c>
      <c r="B389">
        <v>47</v>
      </c>
      <c r="C389" t="s">
        <v>86</v>
      </c>
      <c r="D389" t="s">
        <v>88</v>
      </c>
      <c r="E389" t="s">
        <v>100</v>
      </c>
      <c r="F389" t="s">
        <v>102</v>
      </c>
      <c r="G389">
        <v>32</v>
      </c>
      <c r="H389" t="s">
        <v>111</v>
      </c>
      <c r="I389" t="s">
        <v>148</v>
      </c>
      <c r="J389" t="s">
        <v>62</v>
      </c>
      <c r="K389" t="s">
        <v>74</v>
      </c>
      <c r="L389" t="s">
        <v>128</v>
      </c>
      <c r="M389" t="s">
        <v>129</v>
      </c>
      <c r="N389" t="s">
        <v>130</v>
      </c>
      <c r="O389" t="s">
        <v>129</v>
      </c>
      <c r="P389" t="s">
        <v>129</v>
      </c>
      <c r="Q389">
        <v>1</v>
      </c>
      <c r="R389">
        <v>72998</v>
      </c>
    </row>
    <row r="390" spans="1:18" x14ac:dyDescent="0.25">
      <c r="A390">
        <v>60000389</v>
      </c>
      <c r="B390">
        <v>44</v>
      </c>
      <c r="C390" t="s">
        <v>86</v>
      </c>
      <c r="D390" t="s">
        <v>87</v>
      </c>
      <c r="E390" t="s">
        <v>92</v>
      </c>
      <c r="F390" t="s">
        <v>102</v>
      </c>
      <c r="G390">
        <v>12</v>
      </c>
      <c r="H390" t="s">
        <v>132</v>
      </c>
      <c r="I390" t="s">
        <v>147</v>
      </c>
      <c r="J390" t="s">
        <v>18</v>
      </c>
      <c r="K390" t="s">
        <v>13</v>
      </c>
      <c r="L390" t="s">
        <v>128</v>
      </c>
      <c r="M390" t="s">
        <v>130</v>
      </c>
      <c r="N390" t="s">
        <v>130</v>
      </c>
      <c r="O390" t="s">
        <v>129</v>
      </c>
      <c r="P390" t="s">
        <v>130</v>
      </c>
      <c r="Q390">
        <v>0</v>
      </c>
      <c r="R390">
        <v>66477</v>
      </c>
    </row>
    <row r="391" spans="1:18" x14ac:dyDescent="0.25">
      <c r="A391">
        <v>60000390</v>
      </c>
      <c r="B391">
        <v>23</v>
      </c>
      <c r="C391" t="s">
        <v>86</v>
      </c>
      <c r="D391" t="s">
        <v>88</v>
      </c>
      <c r="E391" t="s">
        <v>5</v>
      </c>
      <c r="F391" t="s">
        <v>102</v>
      </c>
      <c r="G391">
        <v>13</v>
      </c>
      <c r="H391" t="s">
        <v>132</v>
      </c>
      <c r="I391" t="s">
        <v>144</v>
      </c>
      <c r="J391" t="s">
        <v>47</v>
      </c>
      <c r="K391" t="s">
        <v>49</v>
      </c>
      <c r="L391" t="s">
        <v>128</v>
      </c>
      <c r="M391" t="s">
        <v>129</v>
      </c>
      <c r="N391" t="s">
        <v>130</v>
      </c>
      <c r="O391" t="s">
        <v>130</v>
      </c>
      <c r="P391" t="s">
        <v>129</v>
      </c>
      <c r="Q391">
        <v>7</v>
      </c>
      <c r="R391">
        <v>48518</v>
      </c>
    </row>
    <row r="392" spans="1:18" x14ac:dyDescent="0.25">
      <c r="A392">
        <v>60000391</v>
      </c>
      <c r="B392">
        <v>37</v>
      </c>
      <c r="C392" t="s">
        <v>85</v>
      </c>
      <c r="D392" t="s">
        <v>87</v>
      </c>
      <c r="E392" t="s">
        <v>91</v>
      </c>
      <c r="F392" t="s">
        <v>102</v>
      </c>
      <c r="G392">
        <v>14</v>
      </c>
      <c r="H392" t="s">
        <v>132</v>
      </c>
      <c r="I392" t="s">
        <v>29</v>
      </c>
      <c r="J392" t="s">
        <v>23</v>
      </c>
      <c r="K392" t="s">
        <v>28</v>
      </c>
      <c r="L392" t="s">
        <v>59</v>
      </c>
      <c r="M392" t="s">
        <v>129</v>
      </c>
      <c r="N392" t="s">
        <v>130</v>
      </c>
      <c r="O392" t="s">
        <v>130</v>
      </c>
      <c r="P392" t="s">
        <v>129</v>
      </c>
      <c r="Q392">
        <v>4</v>
      </c>
      <c r="R392">
        <v>34127</v>
      </c>
    </row>
    <row r="393" spans="1:18" x14ac:dyDescent="0.25">
      <c r="A393">
        <v>60000392</v>
      </c>
      <c r="B393">
        <v>47</v>
      </c>
      <c r="C393" t="s">
        <v>85</v>
      </c>
      <c r="D393" t="s">
        <v>87</v>
      </c>
      <c r="E393" t="s">
        <v>98</v>
      </c>
      <c r="F393" t="s">
        <v>102</v>
      </c>
      <c r="G393">
        <v>21</v>
      </c>
      <c r="H393" t="s">
        <v>109</v>
      </c>
      <c r="I393" t="s">
        <v>139</v>
      </c>
      <c r="J393" t="s">
        <v>47</v>
      </c>
      <c r="K393" t="s">
        <v>51</v>
      </c>
      <c r="L393" t="s">
        <v>10</v>
      </c>
      <c r="M393" t="s">
        <v>129</v>
      </c>
      <c r="N393" t="s">
        <v>130</v>
      </c>
      <c r="O393" t="s">
        <v>130</v>
      </c>
      <c r="P393" t="s">
        <v>130</v>
      </c>
      <c r="Q393">
        <v>0</v>
      </c>
      <c r="R393">
        <v>64482</v>
      </c>
    </row>
    <row r="394" spans="1:18" x14ac:dyDescent="0.25">
      <c r="A394">
        <v>60000393</v>
      </c>
      <c r="B394">
        <v>44</v>
      </c>
      <c r="C394" t="s">
        <v>86</v>
      </c>
      <c r="D394" t="s">
        <v>88</v>
      </c>
      <c r="E394" t="s">
        <v>90</v>
      </c>
      <c r="F394" t="s">
        <v>102</v>
      </c>
      <c r="G394">
        <v>21</v>
      </c>
      <c r="H394" t="s">
        <v>109</v>
      </c>
      <c r="I394" t="s">
        <v>147</v>
      </c>
      <c r="J394" t="s">
        <v>21</v>
      </c>
      <c r="K394" t="s">
        <v>44</v>
      </c>
      <c r="L394" t="s">
        <v>59</v>
      </c>
      <c r="M394" t="s">
        <v>129</v>
      </c>
      <c r="N394" t="s">
        <v>130</v>
      </c>
      <c r="O394" t="s">
        <v>129</v>
      </c>
      <c r="P394" t="s">
        <v>129</v>
      </c>
      <c r="Q394">
        <v>6</v>
      </c>
      <c r="R394">
        <v>54672</v>
      </c>
    </row>
    <row r="395" spans="1:18" x14ac:dyDescent="0.25">
      <c r="A395">
        <v>60000394</v>
      </c>
      <c r="B395">
        <v>45</v>
      </c>
      <c r="C395" t="s">
        <v>86</v>
      </c>
      <c r="D395" t="s">
        <v>88</v>
      </c>
      <c r="E395" t="s">
        <v>97</v>
      </c>
      <c r="F395" t="s">
        <v>102</v>
      </c>
      <c r="G395">
        <v>17</v>
      </c>
      <c r="H395" t="s">
        <v>132</v>
      </c>
      <c r="I395" t="s">
        <v>55</v>
      </c>
      <c r="J395" t="s">
        <v>47</v>
      </c>
      <c r="K395" t="s">
        <v>74</v>
      </c>
      <c r="L395" t="s">
        <v>128</v>
      </c>
      <c r="M395" t="s">
        <v>130</v>
      </c>
      <c r="N395" t="s">
        <v>130</v>
      </c>
      <c r="O395" t="s">
        <v>129</v>
      </c>
      <c r="P395" t="s">
        <v>129</v>
      </c>
      <c r="Q395">
        <v>4</v>
      </c>
      <c r="R395">
        <v>51554</v>
      </c>
    </row>
    <row r="396" spans="1:18" x14ac:dyDescent="0.25">
      <c r="A396">
        <v>60000395</v>
      </c>
      <c r="B396">
        <v>25</v>
      </c>
      <c r="C396" t="s">
        <v>86</v>
      </c>
      <c r="D396" t="s">
        <v>87</v>
      </c>
      <c r="E396" t="s">
        <v>92</v>
      </c>
      <c r="F396" t="s">
        <v>102</v>
      </c>
      <c r="G396">
        <v>37</v>
      </c>
      <c r="H396" t="s">
        <v>111</v>
      </c>
      <c r="I396" t="s">
        <v>145</v>
      </c>
      <c r="J396" t="s">
        <v>53</v>
      </c>
      <c r="K396" t="s">
        <v>41</v>
      </c>
      <c r="L396" t="s">
        <v>10</v>
      </c>
      <c r="M396" t="s">
        <v>129</v>
      </c>
      <c r="N396" t="s">
        <v>129</v>
      </c>
      <c r="O396" t="s">
        <v>129</v>
      </c>
      <c r="P396" t="s">
        <v>130</v>
      </c>
      <c r="Q396">
        <v>0</v>
      </c>
      <c r="R396">
        <v>44090</v>
      </c>
    </row>
    <row r="397" spans="1:18" x14ac:dyDescent="0.25">
      <c r="A397">
        <v>60000396</v>
      </c>
      <c r="B397">
        <v>31</v>
      </c>
      <c r="C397" t="s">
        <v>85</v>
      </c>
      <c r="D397" t="s">
        <v>88</v>
      </c>
      <c r="E397" t="s">
        <v>5</v>
      </c>
      <c r="F397" t="s">
        <v>102</v>
      </c>
      <c r="G397">
        <v>23</v>
      </c>
      <c r="H397" t="s">
        <v>109</v>
      </c>
      <c r="I397" t="s">
        <v>145</v>
      </c>
      <c r="J397" t="s">
        <v>32</v>
      </c>
      <c r="K397" t="s">
        <v>41</v>
      </c>
      <c r="L397" t="s">
        <v>10</v>
      </c>
      <c r="M397" t="s">
        <v>129</v>
      </c>
      <c r="N397" t="s">
        <v>130</v>
      </c>
      <c r="O397" t="s">
        <v>129</v>
      </c>
      <c r="P397" t="s">
        <v>130</v>
      </c>
      <c r="Q397">
        <v>0</v>
      </c>
      <c r="R397">
        <v>81393</v>
      </c>
    </row>
    <row r="398" spans="1:18" x14ac:dyDescent="0.25">
      <c r="A398">
        <v>60000397</v>
      </c>
      <c r="B398">
        <v>44</v>
      </c>
      <c r="C398" t="s">
        <v>86</v>
      </c>
      <c r="D398" t="s">
        <v>88</v>
      </c>
      <c r="E398" t="s">
        <v>93</v>
      </c>
      <c r="F398" t="s">
        <v>102</v>
      </c>
      <c r="G398">
        <v>33</v>
      </c>
      <c r="H398" t="s">
        <v>111</v>
      </c>
      <c r="I398" t="s">
        <v>148</v>
      </c>
      <c r="J398" t="s">
        <v>32</v>
      </c>
      <c r="K398" t="s">
        <v>65</v>
      </c>
      <c r="L398" t="s">
        <v>10</v>
      </c>
      <c r="M398" t="s">
        <v>129</v>
      </c>
      <c r="N398" t="s">
        <v>130</v>
      </c>
      <c r="O398" t="s">
        <v>129</v>
      </c>
      <c r="P398" t="s">
        <v>129</v>
      </c>
      <c r="Q398">
        <v>1</v>
      </c>
      <c r="R398">
        <v>35847</v>
      </c>
    </row>
    <row r="399" spans="1:18" x14ac:dyDescent="0.25">
      <c r="A399">
        <v>60000398</v>
      </c>
      <c r="B399">
        <v>31</v>
      </c>
      <c r="C399" t="s">
        <v>86</v>
      </c>
      <c r="D399" t="s">
        <v>88</v>
      </c>
      <c r="E399" t="s">
        <v>91</v>
      </c>
      <c r="F399" t="s">
        <v>102</v>
      </c>
      <c r="G399">
        <v>27</v>
      </c>
      <c r="H399" t="s">
        <v>110</v>
      </c>
      <c r="I399" t="s">
        <v>148</v>
      </c>
      <c r="J399" t="s">
        <v>62</v>
      </c>
      <c r="K399" t="s">
        <v>15</v>
      </c>
      <c r="L399" t="s">
        <v>10</v>
      </c>
      <c r="M399" t="s">
        <v>130</v>
      </c>
      <c r="N399" t="s">
        <v>129</v>
      </c>
      <c r="O399" t="s">
        <v>129</v>
      </c>
      <c r="P399" t="s">
        <v>129</v>
      </c>
      <c r="Q399">
        <v>3</v>
      </c>
      <c r="R399">
        <v>73014</v>
      </c>
    </row>
    <row r="400" spans="1:18" x14ac:dyDescent="0.25">
      <c r="A400">
        <v>60000399</v>
      </c>
      <c r="B400">
        <v>40</v>
      </c>
      <c r="C400" t="s">
        <v>85</v>
      </c>
      <c r="D400" t="s">
        <v>87</v>
      </c>
      <c r="E400" t="s">
        <v>94</v>
      </c>
      <c r="F400" t="s">
        <v>102</v>
      </c>
      <c r="G400">
        <v>16</v>
      </c>
      <c r="H400" t="s">
        <v>132</v>
      </c>
      <c r="I400" t="s">
        <v>11</v>
      </c>
      <c r="J400" t="s">
        <v>16</v>
      </c>
      <c r="K400" t="s">
        <v>13</v>
      </c>
      <c r="L400" t="s">
        <v>10</v>
      </c>
      <c r="M400" t="s">
        <v>129</v>
      </c>
      <c r="N400" t="s">
        <v>130</v>
      </c>
      <c r="O400" t="s">
        <v>130</v>
      </c>
      <c r="P400" t="s">
        <v>129</v>
      </c>
      <c r="Q400">
        <v>2</v>
      </c>
      <c r="R400">
        <v>48965</v>
      </c>
    </row>
    <row r="401" spans="1:18" x14ac:dyDescent="0.25">
      <c r="A401">
        <v>60000400</v>
      </c>
      <c r="B401">
        <v>20</v>
      </c>
      <c r="C401" t="s">
        <v>85</v>
      </c>
      <c r="D401" t="s">
        <v>87</v>
      </c>
      <c r="E401" t="s">
        <v>96</v>
      </c>
      <c r="F401" t="s">
        <v>102</v>
      </c>
      <c r="G401">
        <v>15</v>
      </c>
      <c r="H401" t="s">
        <v>132</v>
      </c>
      <c r="I401" t="s">
        <v>11</v>
      </c>
      <c r="J401" t="s">
        <v>47</v>
      </c>
      <c r="K401" t="s">
        <v>22</v>
      </c>
      <c r="L401" t="s">
        <v>59</v>
      </c>
      <c r="M401" t="s">
        <v>129</v>
      </c>
      <c r="N401" t="s">
        <v>129</v>
      </c>
      <c r="O401" t="s">
        <v>129</v>
      </c>
      <c r="P401" t="s">
        <v>130</v>
      </c>
      <c r="Q401">
        <v>0</v>
      </c>
      <c r="R401">
        <v>23504</v>
      </c>
    </row>
    <row r="402" spans="1:18" x14ac:dyDescent="0.25">
      <c r="A402">
        <v>60000401</v>
      </c>
      <c r="B402">
        <v>27</v>
      </c>
      <c r="C402" t="s">
        <v>85</v>
      </c>
      <c r="D402" t="s">
        <v>87</v>
      </c>
      <c r="E402" t="s">
        <v>97</v>
      </c>
      <c r="F402" t="s">
        <v>102</v>
      </c>
      <c r="G402">
        <v>12</v>
      </c>
      <c r="H402" t="s">
        <v>132</v>
      </c>
      <c r="I402" t="s">
        <v>142</v>
      </c>
      <c r="J402" t="s">
        <v>12</v>
      </c>
      <c r="K402" t="s">
        <v>46</v>
      </c>
      <c r="L402" t="s">
        <v>10</v>
      </c>
      <c r="M402" t="s">
        <v>129</v>
      </c>
      <c r="N402" t="s">
        <v>129</v>
      </c>
      <c r="O402" t="s">
        <v>130</v>
      </c>
      <c r="P402" t="s">
        <v>130</v>
      </c>
      <c r="Q402">
        <v>0</v>
      </c>
      <c r="R402">
        <v>28997</v>
      </c>
    </row>
    <row r="403" spans="1:18" x14ac:dyDescent="0.25">
      <c r="A403">
        <v>60000402</v>
      </c>
      <c r="B403">
        <v>20</v>
      </c>
      <c r="C403" t="s">
        <v>86</v>
      </c>
      <c r="D403" t="s">
        <v>88</v>
      </c>
      <c r="E403" t="s">
        <v>5</v>
      </c>
      <c r="F403" t="s">
        <v>102</v>
      </c>
      <c r="G403">
        <v>37</v>
      </c>
      <c r="H403" t="s">
        <v>111</v>
      </c>
      <c r="I403" t="s">
        <v>141</v>
      </c>
      <c r="J403" t="s">
        <v>21</v>
      </c>
      <c r="K403" t="s">
        <v>27</v>
      </c>
      <c r="L403" t="s">
        <v>10</v>
      </c>
      <c r="M403" t="s">
        <v>129</v>
      </c>
      <c r="N403" t="s">
        <v>130</v>
      </c>
      <c r="O403" t="s">
        <v>129</v>
      </c>
      <c r="P403" t="s">
        <v>129</v>
      </c>
      <c r="Q403">
        <v>0</v>
      </c>
      <c r="R403">
        <v>29285</v>
      </c>
    </row>
    <row r="404" spans="1:18" x14ac:dyDescent="0.25">
      <c r="A404">
        <v>60000403</v>
      </c>
      <c r="B404">
        <v>58</v>
      </c>
      <c r="C404" t="s">
        <v>85</v>
      </c>
      <c r="D404" t="s">
        <v>87</v>
      </c>
      <c r="E404" t="s">
        <v>94</v>
      </c>
      <c r="F404" t="s">
        <v>102</v>
      </c>
      <c r="G404">
        <v>14</v>
      </c>
      <c r="H404" t="s">
        <v>132</v>
      </c>
      <c r="I404" t="s">
        <v>141</v>
      </c>
      <c r="J404" t="s">
        <v>21</v>
      </c>
      <c r="K404" t="s">
        <v>17</v>
      </c>
      <c r="L404" t="s">
        <v>128</v>
      </c>
      <c r="M404" t="s">
        <v>130</v>
      </c>
      <c r="N404" t="s">
        <v>130</v>
      </c>
      <c r="O404" t="s">
        <v>130</v>
      </c>
      <c r="P404" t="s">
        <v>130</v>
      </c>
      <c r="Q404">
        <v>0</v>
      </c>
      <c r="R404">
        <v>47552</v>
      </c>
    </row>
    <row r="405" spans="1:18" x14ac:dyDescent="0.25">
      <c r="A405">
        <v>60000404</v>
      </c>
      <c r="B405">
        <v>49</v>
      </c>
      <c r="C405" t="s">
        <v>86</v>
      </c>
      <c r="D405" t="s">
        <v>87</v>
      </c>
      <c r="E405" t="s">
        <v>90</v>
      </c>
      <c r="F405" t="s">
        <v>102</v>
      </c>
      <c r="G405">
        <v>36</v>
      </c>
      <c r="H405" t="s">
        <v>111</v>
      </c>
      <c r="I405" t="s">
        <v>148</v>
      </c>
      <c r="J405" t="s">
        <v>62</v>
      </c>
      <c r="K405" t="s">
        <v>64</v>
      </c>
      <c r="L405" t="s">
        <v>128</v>
      </c>
      <c r="M405" t="s">
        <v>129</v>
      </c>
      <c r="N405" t="s">
        <v>129</v>
      </c>
      <c r="O405" t="s">
        <v>129</v>
      </c>
      <c r="P405" t="s">
        <v>129</v>
      </c>
      <c r="Q405">
        <v>7</v>
      </c>
      <c r="R405">
        <v>69505</v>
      </c>
    </row>
    <row r="406" spans="1:18" x14ac:dyDescent="0.25">
      <c r="A406">
        <v>60000405</v>
      </c>
      <c r="B406">
        <v>59</v>
      </c>
      <c r="C406" t="s">
        <v>85</v>
      </c>
      <c r="D406" t="s">
        <v>88</v>
      </c>
      <c r="E406" t="s">
        <v>5</v>
      </c>
      <c r="F406" t="s">
        <v>102</v>
      </c>
      <c r="G406">
        <v>12</v>
      </c>
      <c r="H406" t="s">
        <v>132</v>
      </c>
      <c r="I406" t="s">
        <v>148</v>
      </c>
      <c r="J406" t="s">
        <v>32</v>
      </c>
      <c r="K406" t="s">
        <v>49</v>
      </c>
      <c r="L406" t="s">
        <v>128</v>
      </c>
      <c r="M406" t="s">
        <v>129</v>
      </c>
      <c r="N406" t="s">
        <v>130</v>
      </c>
      <c r="O406" t="s">
        <v>129</v>
      </c>
      <c r="P406" t="s">
        <v>130</v>
      </c>
      <c r="Q406">
        <v>0</v>
      </c>
      <c r="R406">
        <v>67632</v>
      </c>
    </row>
    <row r="407" spans="1:18" x14ac:dyDescent="0.25">
      <c r="A407">
        <v>60000406</v>
      </c>
      <c r="B407">
        <v>20</v>
      </c>
      <c r="C407" t="s">
        <v>86</v>
      </c>
      <c r="D407" t="s">
        <v>87</v>
      </c>
      <c r="E407" t="s">
        <v>100</v>
      </c>
      <c r="F407" t="s">
        <v>102</v>
      </c>
      <c r="G407">
        <v>21</v>
      </c>
      <c r="H407" t="s">
        <v>109</v>
      </c>
      <c r="I407" t="s">
        <v>146</v>
      </c>
      <c r="J407" t="s">
        <v>75</v>
      </c>
      <c r="K407" t="s">
        <v>40</v>
      </c>
      <c r="L407" t="s">
        <v>59</v>
      </c>
      <c r="M407" t="s">
        <v>130</v>
      </c>
      <c r="N407" t="s">
        <v>130</v>
      </c>
      <c r="O407" t="s">
        <v>130</v>
      </c>
      <c r="P407" t="s">
        <v>130</v>
      </c>
      <c r="Q407">
        <v>0</v>
      </c>
      <c r="R407">
        <v>60132</v>
      </c>
    </row>
    <row r="408" spans="1:18" x14ac:dyDescent="0.25">
      <c r="A408">
        <v>60000407</v>
      </c>
      <c r="B408">
        <v>36</v>
      </c>
      <c r="C408" t="s">
        <v>86</v>
      </c>
      <c r="D408" t="s">
        <v>88</v>
      </c>
      <c r="E408" t="s">
        <v>92</v>
      </c>
      <c r="F408" t="s">
        <v>102</v>
      </c>
      <c r="G408">
        <v>38</v>
      </c>
      <c r="H408" t="s">
        <v>111</v>
      </c>
      <c r="I408" t="s">
        <v>139</v>
      </c>
      <c r="J408" t="s">
        <v>25</v>
      </c>
      <c r="K408" t="s">
        <v>39</v>
      </c>
      <c r="L408" t="s">
        <v>10</v>
      </c>
      <c r="M408" t="s">
        <v>129</v>
      </c>
      <c r="N408" t="s">
        <v>130</v>
      </c>
      <c r="O408" t="s">
        <v>129</v>
      </c>
      <c r="P408" t="s">
        <v>129</v>
      </c>
      <c r="Q408">
        <v>6</v>
      </c>
      <c r="R408">
        <v>81351</v>
      </c>
    </row>
    <row r="409" spans="1:18" x14ac:dyDescent="0.25">
      <c r="A409">
        <v>60000408</v>
      </c>
      <c r="B409">
        <v>62</v>
      </c>
      <c r="C409" t="s">
        <v>85</v>
      </c>
      <c r="D409" t="s">
        <v>87</v>
      </c>
      <c r="E409" t="s">
        <v>90</v>
      </c>
      <c r="F409" t="s">
        <v>102</v>
      </c>
      <c r="G409">
        <v>32</v>
      </c>
      <c r="H409" t="s">
        <v>111</v>
      </c>
      <c r="I409" t="s">
        <v>139</v>
      </c>
      <c r="J409" t="s">
        <v>23</v>
      </c>
      <c r="K409" t="s">
        <v>22</v>
      </c>
      <c r="L409" t="s">
        <v>10</v>
      </c>
      <c r="M409" t="s">
        <v>129</v>
      </c>
      <c r="N409" t="s">
        <v>129</v>
      </c>
      <c r="O409" t="s">
        <v>129</v>
      </c>
      <c r="P409" t="s">
        <v>129</v>
      </c>
      <c r="Q409">
        <v>1</v>
      </c>
      <c r="R409">
        <v>56880</v>
      </c>
    </row>
    <row r="410" spans="1:18" x14ac:dyDescent="0.25">
      <c r="A410">
        <v>60000409</v>
      </c>
      <c r="B410">
        <v>37</v>
      </c>
      <c r="C410" t="s">
        <v>86</v>
      </c>
      <c r="D410" t="s">
        <v>88</v>
      </c>
      <c r="E410" t="s">
        <v>100</v>
      </c>
      <c r="F410" t="s">
        <v>102</v>
      </c>
      <c r="G410">
        <v>30</v>
      </c>
      <c r="H410" t="s">
        <v>110</v>
      </c>
      <c r="I410" t="s">
        <v>141</v>
      </c>
      <c r="J410" t="s">
        <v>14</v>
      </c>
      <c r="K410" t="s">
        <v>13</v>
      </c>
      <c r="L410" t="s">
        <v>59</v>
      </c>
      <c r="M410" t="s">
        <v>130</v>
      </c>
      <c r="N410" t="s">
        <v>130</v>
      </c>
      <c r="O410" t="s">
        <v>130</v>
      </c>
      <c r="P410" t="s">
        <v>129</v>
      </c>
      <c r="Q410">
        <v>1</v>
      </c>
      <c r="R410">
        <v>58453</v>
      </c>
    </row>
    <row r="411" spans="1:18" x14ac:dyDescent="0.25">
      <c r="A411">
        <v>60000410</v>
      </c>
      <c r="B411">
        <v>54</v>
      </c>
      <c r="C411" t="s">
        <v>86</v>
      </c>
      <c r="D411" t="s">
        <v>88</v>
      </c>
      <c r="E411" t="s">
        <v>98</v>
      </c>
      <c r="F411" t="s">
        <v>102</v>
      </c>
      <c r="G411">
        <v>20</v>
      </c>
      <c r="H411" t="s">
        <v>109</v>
      </c>
      <c r="I411" t="s">
        <v>144</v>
      </c>
      <c r="J411" t="s">
        <v>18</v>
      </c>
      <c r="K411" t="s">
        <v>37</v>
      </c>
      <c r="L411" t="s">
        <v>59</v>
      </c>
      <c r="M411" t="s">
        <v>130</v>
      </c>
      <c r="N411" t="s">
        <v>130</v>
      </c>
      <c r="O411" t="s">
        <v>129</v>
      </c>
      <c r="P411" t="s">
        <v>129</v>
      </c>
      <c r="Q411">
        <v>5</v>
      </c>
      <c r="R411">
        <v>67984</v>
      </c>
    </row>
    <row r="412" spans="1:18" x14ac:dyDescent="0.25">
      <c r="A412">
        <v>60000411</v>
      </c>
      <c r="B412">
        <v>55</v>
      </c>
      <c r="C412" t="s">
        <v>85</v>
      </c>
      <c r="D412" t="s">
        <v>87</v>
      </c>
      <c r="E412" t="s">
        <v>96</v>
      </c>
      <c r="F412" t="s">
        <v>102</v>
      </c>
      <c r="G412">
        <v>32</v>
      </c>
      <c r="H412" t="s">
        <v>111</v>
      </c>
      <c r="I412" t="s">
        <v>11</v>
      </c>
      <c r="J412" t="s">
        <v>18</v>
      </c>
      <c r="K412" t="s">
        <v>54</v>
      </c>
      <c r="L412" t="s">
        <v>10</v>
      </c>
      <c r="M412" t="s">
        <v>129</v>
      </c>
      <c r="N412" t="s">
        <v>130</v>
      </c>
      <c r="O412" t="s">
        <v>130</v>
      </c>
      <c r="P412" t="s">
        <v>129</v>
      </c>
      <c r="Q412">
        <v>1</v>
      </c>
      <c r="R412">
        <v>72612</v>
      </c>
    </row>
    <row r="413" spans="1:18" x14ac:dyDescent="0.25">
      <c r="A413">
        <v>60000412</v>
      </c>
      <c r="B413">
        <v>30</v>
      </c>
      <c r="C413" t="s">
        <v>86</v>
      </c>
      <c r="D413" t="s">
        <v>88</v>
      </c>
      <c r="E413" t="s">
        <v>95</v>
      </c>
      <c r="F413" t="s">
        <v>102</v>
      </c>
      <c r="G413">
        <v>33</v>
      </c>
      <c r="H413" t="s">
        <v>111</v>
      </c>
      <c r="I413" t="s">
        <v>147</v>
      </c>
      <c r="J413" t="s">
        <v>14</v>
      </c>
      <c r="K413" t="s">
        <v>66</v>
      </c>
      <c r="L413" t="s">
        <v>128</v>
      </c>
      <c r="M413" t="s">
        <v>129</v>
      </c>
      <c r="N413" t="s">
        <v>130</v>
      </c>
      <c r="O413" t="s">
        <v>129</v>
      </c>
      <c r="P413" t="s">
        <v>130</v>
      </c>
      <c r="Q413">
        <v>0</v>
      </c>
      <c r="R413">
        <v>27132</v>
      </c>
    </row>
    <row r="414" spans="1:18" x14ac:dyDescent="0.25">
      <c r="A414">
        <v>60000413</v>
      </c>
      <c r="B414">
        <v>48</v>
      </c>
      <c r="C414" t="s">
        <v>85</v>
      </c>
      <c r="D414" t="s">
        <v>88</v>
      </c>
      <c r="E414" t="s">
        <v>97</v>
      </c>
      <c r="F414" t="s">
        <v>102</v>
      </c>
      <c r="G414">
        <v>36</v>
      </c>
      <c r="H414" t="s">
        <v>111</v>
      </c>
      <c r="I414" t="s">
        <v>145</v>
      </c>
      <c r="J414" t="s">
        <v>23</v>
      </c>
      <c r="K414" t="s">
        <v>63</v>
      </c>
      <c r="L414" t="s">
        <v>10</v>
      </c>
      <c r="M414" t="s">
        <v>129</v>
      </c>
      <c r="N414" t="s">
        <v>130</v>
      </c>
      <c r="O414" t="s">
        <v>130</v>
      </c>
      <c r="P414" t="s">
        <v>130</v>
      </c>
      <c r="Q414">
        <v>0</v>
      </c>
      <c r="R414">
        <v>42131</v>
      </c>
    </row>
    <row r="415" spans="1:18" x14ac:dyDescent="0.25">
      <c r="A415">
        <v>60000414</v>
      </c>
      <c r="B415">
        <v>57</v>
      </c>
      <c r="C415" t="s">
        <v>86</v>
      </c>
      <c r="D415" t="s">
        <v>87</v>
      </c>
      <c r="E415" t="s">
        <v>99</v>
      </c>
      <c r="F415" t="s">
        <v>102</v>
      </c>
      <c r="G415">
        <v>21</v>
      </c>
      <c r="H415" t="s">
        <v>109</v>
      </c>
      <c r="I415" t="s">
        <v>141</v>
      </c>
      <c r="J415" t="s">
        <v>25</v>
      </c>
      <c r="K415" t="s">
        <v>48</v>
      </c>
      <c r="L415" t="s">
        <v>59</v>
      </c>
      <c r="M415" t="s">
        <v>129</v>
      </c>
      <c r="N415" t="s">
        <v>129</v>
      </c>
      <c r="O415" t="s">
        <v>130</v>
      </c>
      <c r="P415" t="s">
        <v>129</v>
      </c>
      <c r="Q415">
        <v>4</v>
      </c>
      <c r="R415">
        <v>31293</v>
      </c>
    </row>
    <row r="416" spans="1:18" x14ac:dyDescent="0.25">
      <c r="A416">
        <v>60000415</v>
      </c>
      <c r="B416">
        <v>36</v>
      </c>
      <c r="C416" t="s">
        <v>85</v>
      </c>
      <c r="D416" t="s">
        <v>87</v>
      </c>
      <c r="E416" t="s">
        <v>92</v>
      </c>
      <c r="F416" t="s">
        <v>102</v>
      </c>
      <c r="G416">
        <v>28</v>
      </c>
      <c r="H416" t="s">
        <v>110</v>
      </c>
      <c r="I416" t="s">
        <v>150</v>
      </c>
      <c r="J416" t="s">
        <v>18</v>
      </c>
      <c r="K416" t="s">
        <v>66</v>
      </c>
      <c r="L416" t="s">
        <v>10</v>
      </c>
      <c r="M416" t="s">
        <v>130</v>
      </c>
      <c r="N416" t="s">
        <v>129</v>
      </c>
      <c r="O416" t="s">
        <v>130</v>
      </c>
      <c r="P416" t="s">
        <v>129</v>
      </c>
      <c r="Q416">
        <v>4</v>
      </c>
      <c r="R416">
        <v>50744</v>
      </c>
    </row>
    <row r="417" spans="1:18" x14ac:dyDescent="0.25">
      <c r="A417">
        <v>60000416</v>
      </c>
      <c r="B417">
        <v>54</v>
      </c>
      <c r="C417" t="s">
        <v>85</v>
      </c>
      <c r="D417" t="s">
        <v>88</v>
      </c>
      <c r="E417" t="s">
        <v>90</v>
      </c>
      <c r="F417" t="s">
        <v>102</v>
      </c>
      <c r="G417">
        <v>30</v>
      </c>
      <c r="H417" t="s">
        <v>110</v>
      </c>
      <c r="I417" t="s">
        <v>143</v>
      </c>
      <c r="J417" t="s">
        <v>18</v>
      </c>
      <c r="K417" t="s">
        <v>51</v>
      </c>
      <c r="L417" t="s">
        <v>128</v>
      </c>
      <c r="M417" t="s">
        <v>130</v>
      </c>
      <c r="N417" t="s">
        <v>129</v>
      </c>
      <c r="O417" t="s">
        <v>129</v>
      </c>
      <c r="P417" t="s">
        <v>130</v>
      </c>
      <c r="Q417">
        <v>0</v>
      </c>
      <c r="R417">
        <v>27824</v>
      </c>
    </row>
    <row r="418" spans="1:18" x14ac:dyDescent="0.25">
      <c r="A418">
        <v>60000417</v>
      </c>
      <c r="B418">
        <v>40</v>
      </c>
      <c r="C418" t="s">
        <v>85</v>
      </c>
      <c r="D418" t="s">
        <v>88</v>
      </c>
      <c r="E418" t="s">
        <v>97</v>
      </c>
      <c r="F418" t="s">
        <v>102</v>
      </c>
      <c r="G418">
        <v>19</v>
      </c>
      <c r="H418" t="s">
        <v>109</v>
      </c>
      <c r="I418" t="s">
        <v>146</v>
      </c>
      <c r="J418" t="s">
        <v>14</v>
      </c>
      <c r="K418" t="s">
        <v>39</v>
      </c>
      <c r="L418" t="s">
        <v>10</v>
      </c>
      <c r="M418" t="s">
        <v>129</v>
      </c>
      <c r="N418" t="s">
        <v>130</v>
      </c>
      <c r="O418" t="s">
        <v>129</v>
      </c>
      <c r="P418" t="s">
        <v>129</v>
      </c>
      <c r="Q418">
        <v>3</v>
      </c>
      <c r="R418">
        <v>37576</v>
      </c>
    </row>
    <row r="419" spans="1:18" x14ac:dyDescent="0.25">
      <c r="A419">
        <v>60000418</v>
      </c>
      <c r="B419">
        <v>34</v>
      </c>
      <c r="C419" t="s">
        <v>85</v>
      </c>
      <c r="D419" t="s">
        <v>87</v>
      </c>
      <c r="E419" t="s">
        <v>90</v>
      </c>
      <c r="F419" t="s">
        <v>102</v>
      </c>
      <c r="G419">
        <v>20</v>
      </c>
      <c r="H419" t="s">
        <v>109</v>
      </c>
      <c r="I419" t="s">
        <v>11</v>
      </c>
      <c r="J419" t="s">
        <v>75</v>
      </c>
      <c r="K419" t="s">
        <v>31</v>
      </c>
      <c r="L419" t="s">
        <v>10</v>
      </c>
      <c r="M419" t="s">
        <v>130</v>
      </c>
      <c r="N419" t="s">
        <v>129</v>
      </c>
      <c r="O419" t="s">
        <v>130</v>
      </c>
      <c r="P419" t="s">
        <v>130</v>
      </c>
      <c r="Q419">
        <v>0</v>
      </c>
      <c r="R419">
        <v>28458</v>
      </c>
    </row>
    <row r="420" spans="1:18" x14ac:dyDescent="0.25">
      <c r="A420">
        <v>60000419</v>
      </c>
      <c r="B420">
        <v>30</v>
      </c>
      <c r="C420" t="s">
        <v>85</v>
      </c>
      <c r="D420" t="s">
        <v>88</v>
      </c>
      <c r="E420" t="s">
        <v>96</v>
      </c>
      <c r="F420" t="s">
        <v>102</v>
      </c>
      <c r="G420">
        <v>18</v>
      </c>
      <c r="H420" t="s">
        <v>132</v>
      </c>
      <c r="I420" t="s">
        <v>144</v>
      </c>
      <c r="J420" t="s">
        <v>18</v>
      </c>
      <c r="K420" t="s">
        <v>41</v>
      </c>
      <c r="L420" t="s">
        <v>59</v>
      </c>
      <c r="M420" t="s">
        <v>129</v>
      </c>
      <c r="N420" t="s">
        <v>130</v>
      </c>
      <c r="O420" t="s">
        <v>130</v>
      </c>
      <c r="P420" t="s">
        <v>130</v>
      </c>
      <c r="Q420">
        <v>0</v>
      </c>
      <c r="R420">
        <v>23995</v>
      </c>
    </row>
    <row r="421" spans="1:18" x14ac:dyDescent="0.25">
      <c r="A421">
        <v>60000420</v>
      </c>
      <c r="B421">
        <v>50</v>
      </c>
      <c r="C421" t="s">
        <v>86</v>
      </c>
      <c r="D421" t="s">
        <v>87</v>
      </c>
      <c r="E421" t="s">
        <v>97</v>
      </c>
      <c r="F421" t="s">
        <v>102</v>
      </c>
      <c r="G421">
        <v>26</v>
      </c>
      <c r="H421" t="s">
        <v>110</v>
      </c>
      <c r="I421" t="s">
        <v>11</v>
      </c>
      <c r="J421" t="s">
        <v>25</v>
      </c>
      <c r="K421" t="s">
        <v>42</v>
      </c>
      <c r="L421" t="s">
        <v>59</v>
      </c>
      <c r="M421" t="s">
        <v>129</v>
      </c>
      <c r="N421" t="s">
        <v>129</v>
      </c>
      <c r="O421" t="s">
        <v>129</v>
      </c>
      <c r="P421" t="s">
        <v>129</v>
      </c>
      <c r="Q421">
        <v>5</v>
      </c>
      <c r="R421">
        <v>23626</v>
      </c>
    </row>
    <row r="422" spans="1:18" x14ac:dyDescent="0.25">
      <c r="A422">
        <v>60000421</v>
      </c>
      <c r="B422">
        <v>61</v>
      </c>
      <c r="C422" t="s">
        <v>86</v>
      </c>
      <c r="D422" t="s">
        <v>88</v>
      </c>
      <c r="E422" t="s">
        <v>98</v>
      </c>
      <c r="F422" t="s">
        <v>102</v>
      </c>
      <c r="G422">
        <v>10</v>
      </c>
      <c r="H422" t="s">
        <v>108</v>
      </c>
      <c r="I422" t="s">
        <v>143</v>
      </c>
      <c r="J422" t="s">
        <v>32</v>
      </c>
      <c r="K422" t="s">
        <v>64</v>
      </c>
      <c r="L422" t="s">
        <v>128</v>
      </c>
      <c r="M422" t="s">
        <v>130</v>
      </c>
      <c r="N422" t="s">
        <v>129</v>
      </c>
      <c r="O422" t="s">
        <v>129</v>
      </c>
      <c r="P422" t="s">
        <v>129</v>
      </c>
      <c r="Q422">
        <v>5</v>
      </c>
      <c r="R422">
        <v>24556</v>
      </c>
    </row>
    <row r="423" spans="1:18" x14ac:dyDescent="0.25">
      <c r="A423">
        <v>60000422</v>
      </c>
      <c r="B423">
        <v>23</v>
      </c>
      <c r="C423" t="s">
        <v>85</v>
      </c>
      <c r="D423" t="s">
        <v>87</v>
      </c>
      <c r="E423" t="s">
        <v>92</v>
      </c>
      <c r="F423" t="s">
        <v>102</v>
      </c>
      <c r="G423">
        <v>12</v>
      </c>
      <c r="H423" t="s">
        <v>132</v>
      </c>
      <c r="I423" t="s">
        <v>29</v>
      </c>
      <c r="J423" t="s">
        <v>53</v>
      </c>
      <c r="K423" t="s">
        <v>43</v>
      </c>
      <c r="L423" t="s">
        <v>128</v>
      </c>
      <c r="M423" t="s">
        <v>129</v>
      </c>
      <c r="N423" t="s">
        <v>129</v>
      </c>
      <c r="O423" t="s">
        <v>129</v>
      </c>
      <c r="P423" t="s">
        <v>129</v>
      </c>
      <c r="Q423">
        <v>7</v>
      </c>
      <c r="R423">
        <v>36555</v>
      </c>
    </row>
    <row r="424" spans="1:18" x14ac:dyDescent="0.25">
      <c r="A424">
        <v>60000423</v>
      </c>
      <c r="B424">
        <v>33</v>
      </c>
      <c r="C424" t="s">
        <v>86</v>
      </c>
      <c r="D424" t="s">
        <v>87</v>
      </c>
      <c r="E424" t="s">
        <v>96</v>
      </c>
      <c r="F424" t="s">
        <v>102</v>
      </c>
      <c r="G424">
        <v>30</v>
      </c>
      <c r="H424" t="s">
        <v>110</v>
      </c>
      <c r="I424" t="s">
        <v>11</v>
      </c>
      <c r="J424" t="s">
        <v>16</v>
      </c>
      <c r="K424" t="s">
        <v>70</v>
      </c>
      <c r="L424" t="s">
        <v>59</v>
      </c>
      <c r="M424" t="s">
        <v>130</v>
      </c>
      <c r="N424" t="s">
        <v>129</v>
      </c>
      <c r="O424" t="s">
        <v>130</v>
      </c>
      <c r="P424" t="s">
        <v>130</v>
      </c>
      <c r="Q424">
        <v>0</v>
      </c>
      <c r="R424">
        <v>61440</v>
      </c>
    </row>
    <row r="425" spans="1:18" x14ac:dyDescent="0.25">
      <c r="A425">
        <v>60000424</v>
      </c>
      <c r="B425">
        <v>22</v>
      </c>
      <c r="C425" t="s">
        <v>86</v>
      </c>
      <c r="D425" t="s">
        <v>88</v>
      </c>
      <c r="E425" t="s">
        <v>100</v>
      </c>
      <c r="F425" t="s">
        <v>102</v>
      </c>
      <c r="G425">
        <v>16</v>
      </c>
      <c r="H425" t="s">
        <v>132</v>
      </c>
      <c r="I425" t="s">
        <v>55</v>
      </c>
      <c r="J425" t="s">
        <v>23</v>
      </c>
      <c r="K425" t="s">
        <v>71</v>
      </c>
      <c r="L425" t="s">
        <v>59</v>
      </c>
      <c r="M425" t="s">
        <v>129</v>
      </c>
      <c r="N425" t="s">
        <v>129</v>
      </c>
      <c r="O425" t="s">
        <v>129</v>
      </c>
      <c r="P425" t="s">
        <v>129</v>
      </c>
      <c r="Q425">
        <v>7</v>
      </c>
      <c r="R425">
        <v>38307</v>
      </c>
    </row>
    <row r="426" spans="1:18" x14ac:dyDescent="0.25">
      <c r="A426">
        <v>60000425</v>
      </c>
      <c r="B426">
        <v>55</v>
      </c>
      <c r="C426" t="s">
        <v>86</v>
      </c>
      <c r="D426" t="s">
        <v>87</v>
      </c>
      <c r="E426" t="s">
        <v>90</v>
      </c>
      <c r="F426" t="s">
        <v>102</v>
      </c>
      <c r="G426">
        <v>24</v>
      </c>
      <c r="H426" t="s">
        <v>109</v>
      </c>
      <c r="I426" t="s">
        <v>147</v>
      </c>
      <c r="J426" t="s">
        <v>25</v>
      </c>
      <c r="K426" t="s">
        <v>22</v>
      </c>
      <c r="L426" t="s">
        <v>10</v>
      </c>
      <c r="M426" t="s">
        <v>130</v>
      </c>
      <c r="N426" t="s">
        <v>130</v>
      </c>
      <c r="O426" t="s">
        <v>130</v>
      </c>
      <c r="P426" t="s">
        <v>130</v>
      </c>
      <c r="Q426">
        <v>0</v>
      </c>
      <c r="R426">
        <v>49359</v>
      </c>
    </row>
    <row r="427" spans="1:18" x14ac:dyDescent="0.25">
      <c r="A427">
        <v>60000426</v>
      </c>
      <c r="B427">
        <v>34</v>
      </c>
      <c r="C427" t="s">
        <v>86</v>
      </c>
      <c r="D427" t="s">
        <v>88</v>
      </c>
      <c r="E427" t="s">
        <v>100</v>
      </c>
      <c r="F427" t="s">
        <v>102</v>
      </c>
      <c r="G427">
        <v>10</v>
      </c>
      <c r="H427" t="s">
        <v>108</v>
      </c>
      <c r="I427" t="s">
        <v>144</v>
      </c>
      <c r="J427" t="s">
        <v>18</v>
      </c>
      <c r="K427" t="s">
        <v>26</v>
      </c>
      <c r="L427" t="s">
        <v>128</v>
      </c>
      <c r="M427" t="s">
        <v>129</v>
      </c>
      <c r="N427" t="s">
        <v>130</v>
      </c>
      <c r="O427" t="s">
        <v>130</v>
      </c>
      <c r="P427" t="s">
        <v>129</v>
      </c>
      <c r="Q427">
        <v>4</v>
      </c>
      <c r="R427">
        <v>73142</v>
      </c>
    </row>
    <row r="428" spans="1:18" x14ac:dyDescent="0.25">
      <c r="A428">
        <v>60000427</v>
      </c>
      <c r="B428">
        <v>49</v>
      </c>
      <c r="C428" t="s">
        <v>86</v>
      </c>
      <c r="D428" t="s">
        <v>88</v>
      </c>
      <c r="E428" t="s">
        <v>94</v>
      </c>
      <c r="F428" t="s">
        <v>102</v>
      </c>
      <c r="G428">
        <v>22</v>
      </c>
      <c r="H428" t="s">
        <v>109</v>
      </c>
      <c r="I428" t="s">
        <v>50</v>
      </c>
      <c r="J428" t="s">
        <v>16</v>
      </c>
      <c r="K428" t="s">
        <v>42</v>
      </c>
      <c r="L428" t="s">
        <v>10</v>
      </c>
      <c r="M428" t="s">
        <v>129</v>
      </c>
      <c r="N428" t="s">
        <v>130</v>
      </c>
      <c r="O428" t="s">
        <v>130</v>
      </c>
      <c r="P428" t="s">
        <v>129</v>
      </c>
      <c r="Q428">
        <v>4</v>
      </c>
      <c r="R428">
        <v>36101</v>
      </c>
    </row>
    <row r="429" spans="1:18" x14ac:dyDescent="0.25">
      <c r="A429">
        <v>60000428</v>
      </c>
      <c r="B429">
        <v>47</v>
      </c>
      <c r="C429" t="s">
        <v>86</v>
      </c>
      <c r="D429" t="s">
        <v>88</v>
      </c>
      <c r="E429" t="s">
        <v>95</v>
      </c>
      <c r="F429" t="s">
        <v>102</v>
      </c>
      <c r="G429">
        <v>35</v>
      </c>
      <c r="H429" t="s">
        <v>111</v>
      </c>
      <c r="I429" t="s">
        <v>22</v>
      </c>
      <c r="J429" t="s">
        <v>75</v>
      </c>
      <c r="K429" t="s">
        <v>67</v>
      </c>
      <c r="L429" t="s">
        <v>59</v>
      </c>
      <c r="M429" t="s">
        <v>129</v>
      </c>
      <c r="N429" t="s">
        <v>129</v>
      </c>
      <c r="O429" t="s">
        <v>129</v>
      </c>
      <c r="P429" t="s">
        <v>129</v>
      </c>
      <c r="Q429">
        <v>5</v>
      </c>
      <c r="R429">
        <v>25090</v>
      </c>
    </row>
    <row r="430" spans="1:18" x14ac:dyDescent="0.25">
      <c r="A430">
        <v>60000429</v>
      </c>
      <c r="B430">
        <v>36</v>
      </c>
      <c r="C430" t="s">
        <v>85</v>
      </c>
      <c r="D430" t="s">
        <v>88</v>
      </c>
      <c r="E430" t="s">
        <v>90</v>
      </c>
      <c r="F430" t="s">
        <v>102</v>
      </c>
      <c r="G430">
        <v>33</v>
      </c>
      <c r="H430" t="s">
        <v>111</v>
      </c>
      <c r="I430" t="s">
        <v>149</v>
      </c>
      <c r="J430" t="s">
        <v>62</v>
      </c>
      <c r="K430" t="s">
        <v>51</v>
      </c>
      <c r="L430" t="s">
        <v>59</v>
      </c>
      <c r="M430" t="s">
        <v>129</v>
      </c>
      <c r="N430" t="s">
        <v>130</v>
      </c>
      <c r="O430" t="s">
        <v>129</v>
      </c>
      <c r="P430" t="s">
        <v>130</v>
      </c>
      <c r="Q430">
        <v>0</v>
      </c>
      <c r="R430">
        <v>41042</v>
      </c>
    </row>
    <row r="431" spans="1:18" x14ac:dyDescent="0.25">
      <c r="A431">
        <v>60000430</v>
      </c>
      <c r="B431">
        <v>29</v>
      </c>
      <c r="C431" t="s">
        <v>85</v>
      </c>
      <c r="D431" t="s">
        <v>88</v>
      </c>
      <c r="E431" t="s">
        <v>94</v>
      </c>
      <c r="F431" t="s">
        <v>102</v>
      </c>
      <c r="G431">
        <v>21</v>
      </c>
      <c r="H431" t="s">
        <v>109</v>
      </c>
      <c r="I431" t="s">
        <v>149</v>
      </c>
      <c r="J431" t="s">
        <v>53</v>
      </c>
      <c r="K431" t="s">
        <v>68</v>
      </c>
      <c r="L431" t="s">
        <v>10</v>
      </c>
      <c r="M431" t="s">
        <v>129</v>
      </c>
      <c r="N431" t="s">
        <v>130</v>
      </c>
      <c r="O431" t="s">
        <v>130</v>
      </c>
      <c r="P431" t="s">
        <v>130</v>
      </c>
      <c r="Q431">
        <v>0</v>
      </c>
      <c r="R431">
        <v>60451</v>
      </c>
    </row>
    <row r="432" spans="1:18" x14ac:dyDescent="0.25">
      <c r="A432">
        <v>60000431</v>
      </c>
      <c r="B432">
        <v>54</v>
      </c>
      <c r="C432" t="s">
        <v>85</v>
      </c>
      <c r="D432" t="s">
        <v>88</v>
      </c>
      <c r="E432" t="s">
        <v>100</v>
      </c>
      <c r="F432" t="s">
        <v>102</v>
      </c>
      <c r="G432">
        <v>12</v>
      </c>
      <c r="H432" t="s">
        <v>132</v>
      </c>
      <c r="I432" t="s">
        <v>147</v>
      </c>
      <c r="J432" t="s">
        <v>9</v>
      </c>
      <c r="K432" t="s">
        <v>11</v>
      </c>
      <c r="L432" t="s">
        <v>10</v>
      </c>
      <c r="M432" t="s">
        <v>129</v>
      </c>
      <c r="N432" t="s">
        <v>130</v>
      </c>
      <c r="O432" t="s">
        <v>129</v>
      </c>
      <c r="P432" t="s">
        <v>129</v>
      </c>
      <c r="Q432">
        <v>6</v>
      </c>
      <c r="R432">
        <v>26178</v>
      </c>
    </row>
    <row r="433" spans="1:18" x14ac:dyDescent="0.25">
      <c r="A433">
        <v>60000432</v>
      </c>
      <c r="B433">
        <v>31</v>
      </c>
      <c r="C433" t="s">
        <v>86</v>
      </c>
      <c r="D433" t="s">
        <v>87</v>
      </c>
      <c r="E433" t="s">
        <v>93</v>
      </c>
      <c r="F433" t="s">
        <v>102</v>
      </c>
      <c r="G433">
        <v>22</v>
      </c>
      <c r="H433" t="s">
        <v>109</v>
      </c>
      <c r="I433" t="s">
        <v>29</v>
      </c>
      <c r="J433" t="s">
        <v>62</v>
      </c>
      <c r="K433" t="s">
        <v>67</v>
      </c>
      <c r="L433" t="s">
        <v>10</v>
      </c>
      <c r="M433" t="s">
        <v>129</v>
      </c>
      <c r="N433" t="s">
        <v>129</v>
      </c>
      <c r="O433" t="s">
        <v>129</v>
      </c>
      <c r="P433" t="s">
        <v>129</v>
      </c>
      <c r="Q433">
        <v>1</v>
      </c>
      <c r="R433">
        <v>57367</v>
      </c>
    </row>
    <row r="434" spans="1:18" x14ac:dyDescent="0.25">
      <c r="A434">
        <v>60000433</v>
      </c>
      <c r="B434">
        <v>29</v>
      </c>
      <c r="C434" t="s">
        <v>85</v>
      </c>
      <c r="D434" t="s">
        <v>88</v>
      </c>
      <c r="E434" t="s">
        <v>96</v>
      </c>
      <c r="F434" t="s">
        <v>102</v>
      </c>
      <c r="G434">
        <v>33</v>
      </c>
      <c r="H434" t="s">
        <v>111</v>
      </c>
      <c r="I434" t="s">
        <v>141</v>
      </c>
      <c r="J434" t="s">
        <v>75</v>
      </c>
      <c r="K434" t="s">
        <v>52</v>
      </c>
      <c r="L434" t="s">
        <v>128</v>
      </c>
      <c r="M434" t="s">
        <v>129</v>
      </c>
      <c r="N434" t="s">
        <v>130</v>
      </c>
      <c r="O434" t="s">
        <v>129</v>
      </c>
      <c r="P434" t="s">
        <v>130</v>
      </c>
      <c r="Q434">
        <v>0</v>
      </c>
      <c r="R434">
        <v>70761</v>
      </c>
    </row>
    <row r="435" spans="1:18" x14ac:dyDescent="0.25">
      <c r="A435">
        <v>60000434</v>
      </c>
      <c r="B435">
        <v>51</v>
      </c>
      <c r="C435" t="s">
        <v>85</v>
      </c>
      <c r="D435" t="s">
        <v>87</v>
      </c>
      <c r="E435" t="s">
        <v>91</v>
      </c>
      <c r="F435" t="s">
        <v>102</v>
      </c>
      <c r="G435">
        <v>13</v>
      </c>
      <c r="H435" t="s">
        <v>132</v>
      </c>
      <c r="I435" t="s">
        <v>144</v>
      </c>
      <c r="J435" t="s">
        <v>47</v>
      </c>
      <c r="K435" t="s">
        <v>61</v>
      </c>
      <c r="L435" t="s">
        <v>10</v>
      </c>
      <c r="M435" t="s">
        <v>130</v>
      </c>
      <c r="N435" t="s">
        <v>130</v>
      </c>
      <c r="O435" t="s">
        <v>129</v>
      </c>
      <c r="P435" t="s">
        <v>129</v>
      </c>
      <c r="Q435">
        <v>2</v>
      </c>
      <c r="R435">
        <v>26855</v>
      </c>
    </row>
    <row r="436" spans="1:18" x14ac:dyDescent="0.25">
      <c r="A436">
        <v>60000435</v>
      </c>
      <c r="B436">
        <v>50</v>
      </c>
      <c r="C436" t="s">
        <v>86</v>
      </c>
      <c r="D436" t="s">
        <v>87</v>
      </c>
      <c r="E436" t="s">
        <v>90</v>
      </c>
      <c r="F436" t="s">
        <v>102</v>
      </c>
      <c r="G436">
        <v>33</v>
      </c>
      <c r="H436" t="s">
        <v>111</v>
      </c>
      <c r="I436" t="s">
        <v>22</v>
      </c>
      <c r="J436" t="s">
        <v>16</v>
      </c>
      <c r="K436" t="s">
        <v>67</v>
      </c>
      <c r="L436" t="s">
        <v>128</v>
      </c>
      <c r="M436" t="s">
        <v>130</v>
      </c>
      <c r="N436" t="s">
        <v>130</v>
      </c>
      <c r="O436" t="s">
        <v>129</v>
      </c>
      <c r="P436" t="s">
        <v>130</v>
      </c>
      <c r="Q436">
        <v>0</v>
      </c>
      <c r="R436">
        <v>78889</v>
      </c>
    </row>
    <row r="437" spans="1:18" x14ac:dyDescent="0.25">
      <c r="A437">
        <v>60000436</v>
      </c>
      <c r="B437">
        <v>65</v>
      </c>
      <c r="C437" t="s">
        <v>86</v>
      </c>
      <c r="D437" t="s">
        <v>87</v>
      </c>
      <c r="E437" t="s">
        <v>100</v>
      </c>
      <c r="F437" t="s">
        <v>102</v>
      </c>
      <c r="G437">
        <v>38</v>
      </c>
      <c r="H437" t="s">
        <v>111</v>
      </c>
      <c r="I437" t="s">
        <v>55</v>
      </c>
      <c r="J437" t="s">
        <v>75</v>
      </c>
      <c r="K437" t="s">
        <v>49</v>
      </c>
      <c r="L437" t="s">
        <v>59</v>
      </c>
      <c r="M437" t="s">
        <v>130</v>
      </c>
      <c r="N437" t="s">
        <v>130</v>
      </c>
      <c r="O437" t="s">
        <v>130</v>
      </c>
      <c r="P437" t="s">
        <v>129</v>
      </c>
      <c r="Q437">
        <v>3</v>
      </c>
      <c r="R437">
        <v>34581</v>
      </c>
    </row>
    <row r="438" spans="1:18" x14ac:dyDescent="0.25">
      <c r="A438">
        <v>60000437</v>
      </c>
      <c r="B438">
        <v>55</v>
      </c>
      <c r="C438" t="s">
        <v>85</v>
      </c>
      <c r="D438" t="s">
        <v>88</v>
      </c>
      <c r="E438" t="s">
        <v>96</v>
      </c>
      <c r="F438" t="s">
        <v>102</v>
      </c>
      <c r="G438">
        <v>37</v>
      </c>
      <c r="H438" t="s">
        <v>111</v>
      </c>
      <c r="I438" t="s">
        <v>145</v>
      </c>
      <c r="J438" t="s">
        <v>9</v>
      </c>
      <c r="K438" t="s">
        <v>35</v>
      </c>
      <c r="L438" t="s">
        <v>10</v>
      </c>
      <c r="M438" t="s">
        <v>130</v>
      </c>
      <c r="N438" t="s">
        <v>130</v>
      </c>
      <c r="O438" t="s">
        <v>130</v>
      </c>
      <c r="P438" t="s">
        <v>130</v>
      </c>
      <c r="Q438">
        <v>0</v>
      </c>
      <c r="R438">
        <v>38750</v>
      </c>
    </row>
    <row r="439" spans="1:18" x14ac:dyDescent="0.25">
      <c r="A439">
        <v>60000438</v>
      </c>
      <c r="B439">
        <v>26</v>
      </c>
      <c r="C439" t="s">
        <v>85</v>
      </c>
      <c r="D439" t="s">
        <v>88</v>
      </c>
      <c r="E439" t="s">
        <v>5</v>
      </c>
      <c r="F439" t="s">
        <v>102</v>
      </c>
      <c r="G439">
        <v>15</v>
      </c>
      <c r="H439" t="s">
        <v>132</v>
      </c>
      <c r="I439" t="s">
        <v>139</v>
      </c>
      <c r="J439" t="s">
        <v>47</v>
      </c>
      <c r="K439" t="s">
        <v>63</v>
      </c>
      <c r="L439" t="s">
        <v>10</v>
      </c>
      <c r="M439" t="s">
        <v>129</v>
      </c>
      <c r="N439" t="s">
        <v>129</v>
      </c>
      <c r="O439" t="s">
        <v>129</v>
      </c>
      <c r="P439" t="s">
        <v>129</v>
      </c>
      <c r="Q439">
        <v>3</v>
      </c>
      <c r="R439">
        <v>27003</v>
      </c>
    </row>
    <row r="440" spans="1:18" x14ac:dyDescent="0.25">
      <c r="A440">
        <v>60000439</v>
      </c>
      <c r="B440">
        <v>21</v>
      </c>
      <c r="C440" t="s">
        <v>86</v>
      </c>
      <c r="D440" t="s">
        <v>87</v>
      </c>
      <c r="E440" t="s">
        <v>98</v>
      </c>
      <c r="F440" t="s">
        <v>102</v>
      </c>
      <c r="G440">
        <v>10</v>
      </c>
      <c r="H440" t="s">
        <v>108</v>
      </c>
      <c r="I440" t="s">
        <v>139</v>
      </c>
      <c r="J440" t="s">
        <v>16</v>
      </c>
      <c r="K440" t="s">
        <v>48</v>
      </c>
      <c r="L440" t="s">
        <v>59</v>
      </c>
      <c r="M440" t="s">
        <v>130</v>
      </c>
      <c r="N440" t="s">
        <v>129</v>
      </c>
      <c r="O440" t="s">
        <v>129</v>
      </c>
      <c r="P440" t="s">
        <v>129</v>
      </c>
      <c r="Q440">
        <v>7</v>
      </c>
      <c r="R440">
        <v>35593</v>
      </c>
    </row>
    <row r="441" spans="1:18" x14ac:dyDescent="0.25">
      <c r="A441">
        <v>60000440</v>
      </c>
      <c r="B441">
        <v>49</v>
      </c>
      <c r="C441" t="s">
        <v>85</v>
      </c>
      <c r="D441" t="s">
        <v>87</v>
      </c>
      <c r="E441" t="s">
        <v>96</v>
      </c>
      <c r="F441" t="s">
        <v>104</v>
      </c>
      <c r="G441">
        <v>18</v>
      </c>
      <c r="H441" t="s">
        <v>132</v>
      </c>
      <c r="I441" t="s">
        <v>144</v>
      </c>
      <c r="J441" t="s">
        <v>32</v>
      </c>
      <c r="K441" t="s">
        <v>13</v>
      </c>
      <c r="L441" t="s">
        <v>128</v>
      </c>
      <c r="M441" t="s">
        <v>130</v>
      </c>
      <c r="N441" t="s">
        <v>129</v>
      </c>
      <c r="O441" t="s">
        <v>130</v>
      </c>
      <c r="P441" t="s">
        <v>129</v>
      </c>
      <c r="Q441">
        <v>4</v>
      </c>
      <c r="R441">
        <v>54011</v>
      </c>
    </row>
    <row r="442" spans="1:18" x14ac:dyDescent="0.25">
      <c r="A442">
        <v>60000441</v>
      </c>
      <c r="B442">
        <v>21</v>
      </c>
      <c r="C442" t="s">
        <v>85</v>
      </c>
      <c r="D442" t="s">
        <v>87</v>
      </c>
      <c r="E442" t="s">
        <v>94</v>
      </c>
      <c r="F442" t="s">
        <v>104</v>
      </c>
      <c r="G442">
        <v>10</v>
      </c>
      <c r="H442" t="s">
        <v>108</v>
      </c>
      <c r="I442" t="s">
        <v>55</v>
      </c>
      <c r="J442" t="s">
        <v>47</v>
      </c>
      <c r="K442" t="s">
        <v>73</v>
      </c>
      <c r="L442" t="s">
        <v>128</v>
      </c>
      <c r="M442" t="s">
        <v>129</v>
      </c>
      <c r="N442" t="s">
        <v>129</v>
      </c>
      <c r="O442" t="s">
        <v>130</v>
      </c>
      <c r="P442" t="s">
        <v>129</v>
      </c>
      <c r="Q442">
        <v>0</v>
      </c>
      <c r="R442">
        <v>39860</v>
      </c>
    </row>
    <row r="443" spans="1:18" x14ac:dyDescent="0.25">
      <c r="A443">
        <v>60000442</v>
      </c>
      <c r="B443">
        <v>20</v>
      </c>
      <c r="C443" t="s">
        <v>86</v>
      </c>
      <c r="D443" t="s">
        <v>88</v>
      </c>
      <c r="E443" t="s">
        <v>94</v>
      </c>
      <c r="F443" t="s">
        <v>102</v>
      </c>
      <c r="G443">
        <v>35</v>
      </c>
      <c r="H443" t="s">
        <v>111</v>
      </c>
      <c r="I443" t="s">
        <v>145</v>
      </c>
      <c r="J443" t="s">
        <v>53</v>
      </c>
      <c r="K443" t="s">
        <v>72</v>
      </c>
      <c r="L443" t="s">
        <v>10</v>
      </c>
      <c r="M443" t="s">
        <v>130</v>
      </c>
      <c r="N443" t="s">
        <v>130</v>
      </c>
      <c r="O443" t="s">
        <v>130</v>
      </c>
      <c r="P443" t="s">
        <v>130</v>
      </c>
      <c r="Q443">
        <v>0</v>
      </c>
      <c r="R443">
        <v>78921</v>
      </c>
    </row>
    <row r="444" spans="1:18" x14ac:dyDescent="0.25">
      <c r="A444">
        <v>60000443</v>
      </c>
      <c r="B444">
        <v>63</v>
      </c>
      <c r="C444" t="s">
        <v>86</v>
      </c>
      <c r="D444" t="s">
        <v>88</v>
      </c>
      <c r="E444" t="s">
        <v>100</v>
      </c>
      <c r="F444" t="s">
        <v>102</v>
      </c>
      <c r="G444">
        <v>37</v>
      </c>
      <c r="H444" t="s">
        <v>111</v>
      </c>
      <c r="I444" t="s">
        <v>150</v>
      </c>
      <c r="J444" t="s">
        <v>25</v>
      </c>
      <c r="K444" t="s">
        <v>61</v>
      </c>
      <c r="L444" t="s">
        <v>10</v>
      </c>
      <c r="M444" t="s">
        <v>129</v>
      </c>
      <c r="N444" t="s">
        <v>130</v>
      </c>
      <c r="O444" t="s">
        <v>129</v>
      </c>
      <c r="P444" t="s">
        <v>129</v>
      </c>
      <c r="Q444">
        <v>3</v>
      </c>
      <c r="R444">
        <v>49834</v>
      </c>
    </row>
    <row r="445" spans="1:18" x14ac:dyDescent="0.25">
      <c r="A445">
        <v>60000444</v>
      </c>
      <c r="B445">
        <v>37</v>
      </c>
      <c r="C445" t="s">
        <v>86</v>
      </c>
      <c r="D445" t="s">
        <v>87</v>
      </c>
      <c r="E445" t="s">
        <v>90</v>
      </c>
      <c r="F445" t="s">
        <v>103</v>
      </c>
      <c r="G445">
        <v>19</v>
      </c>
      <c r="H445" t="s">
        <v>109</v>
      </c>
      <c r="I445" t="s">
        <v>146</v>
      </c>
      <c r="J445" t="s">
        <v>18</v>
      </c>
      <c r="K445" t="s">
        <v>72</v>
      </c>
      <c r="L445" t="s">
        <v>128</v>
      </c>
      <c r="M445" t="s">
        <v>129</v>
      </c>
      <c r="N445" t="s">
        <v>129</v>
      </c>
      <c r="O445" t="s">
        <v>129</v>
      </c>
      <c r="P445" t="s">
        <v>130</v>
      </c>
      <c r="Q445">
        <v>0</v>
      </c>
      <c r="R445">
        <v>37822</v>
      </c>
    </row>
    <row r="446" spans="1:18" x14ac:dyDescent="0.25">
      <c r="A446">
        <v>60000445</v>
      </c>
      <c r="B446">
        <v>56</v>
      </c>
      <c r="C446" t="s">
        <v>85</v>
      </c>
      <c r="D446" t="s">
        <v>88</v>
      </c>
      <c r="E446" t="s">
        <v>98</v>
      </c>
      <c r="F446" t="s">
        <v>102</v>
      </c>
      <c r="G446">
        <v>30</v>
      </c>
      <c r="H446" t="s">
        <v>110</v>
      </c>
      <c r="I446" t="s">
        <v>145</v>
      </c>
      <c r="J446" t="s">
        <v>12</v>
      </c>
      <c r="K446" t="s">
        <v>69</v>
      </c>
      <c r="L446" t="s">
        <v>128</v>
      </c>
      <c r="M446" t="s">
        <v>129</v>
      </c>
      <c r="N446" t="s">
        <v>129</v>
      </c>
      <c r="O446" t="s">
        <v>129</v>
      </c>
      <c r="P446" t="s">
        <v>130</v>
      </c>
      <c r="Q446">
        <v>0</v>
      </c>
      <c r="R446">
        <v>38296</v>
      </c>
    </row>
    <row r="447" spans="1:18" x14ac:dyDescent="0.25">
      <c r="A447">
        <v>60000446</v>
      </c>
      <c r="B447">
        <v>44</v>
      </c>
      <c r="C447" t="s">
        <v>86</v>
      </c>
      <c r="D447" t="s">
        <v>88</v>
      </c>
      <c r="E447" t="s">
        <v>97</v>
      </c>
      <c r="F447" t="s">
        <v>102</v>
      </c>
      <c r="G447">
        <v>14</v>
      </c>
      <c r="H447" t="s">
        <v>132</v>
      </c>
      <c r="I447" t="s">
        <v>140</v>
      </c>
      <c r="J447" t="s">
        <v>25</v>
      </c>
      <c r="K447" t="s">
        <v>72</v>
      </c>
      <c r="L447" t="s">
        <v>59</v>
      </c>
      <c r="M447" t="s">
        <v>129</v>
      </c>
      <c r="N447" t="s">
        <v>129</v>
      </c>
      <c r="O447" t="s">
        <v>129</v>
      </c>
      <c r="P447" t="s">
        <v>129</v>
      </c>
      <c r="Q447">
        <v>0</v>
      </c>
      <c r="R447">
        <v>78541</v>
      </c>
    </row>
    <row r="448" spans="1:18" x14ac:dyDescent="0.25">
      <c r="A448">
        <v>60000447</v>
      </c>
      <c r="B448">
        <v>29</v>
      </c>
      <c r="C448" t="s">
        <v>85</v>
      </c>
      <c r="D448" t="s">
        <v>88</v>
      </c>
      <c r="E448" t="s">
        <v>5</v>
      </c>
      <c r="F448" t="s">
        <v>103</v>
      </c>
      <c r="G448">
        <v>30</v>
      </c>
      <c r="H448" t="s">
        <v>110</v>
      </c>
      <c r="I448" t="s">
        <v>139</v>
      </c>
      <c r="J448" t="s">
        <v>18</v>
      </c>
      <c r="K448" t="s">
        <v>29</v>
      </c>
      <c r="L448" t="s">
        <v>10</v>
      </c>
      <c r="M448" t="s">
        <v>129</v>
      </c>
      <c r="N448" t="s">
        <v>129</v>
      </c>
      <c r="O448" t="s">
        <v>130</v>
      </c>
      <c r="P448" t="s">
        <v>130</v>
      </c>
      <c r="Q448">
        <v>0</v>
      </c>
      <c r="R448">
        <v>79092</v>
      </c>
    </row>
    <row r="449" spans="1:18" x14ac:dyDescent="0.25">
      <c r="A449">
        <v>60000448</v>
      </c>
      <c r="B449">
        <v>64</v>
      </c>
      <c r="C449" t="s">
        <v>85</v>
      </c>
      <c r="D449" t="s">
        <v>88</v>
      </c>
      <c r="E449" t="s">
        <v>93</v>
      </c>
      <c r="F449" t="s">
        <v>104</v>
      </c>
      <c r="G449">
        <v>18</v>
      </c>
      <c r="H449" t="s">
        <v>132</v>
      </c>
      <c r="I449" t="s">
        <v>55</v>
      </c>
      <c r="J449" t="s">
        <v>9</v>
      </c>
      <c r="K449" t="s">
        <v>63</v>
      </c>
      <c r="L449" t="s">
        <v>10</v>
      </c>
      <c r="M449" t="s">
        <v>129</v>
      </c>
      <c r="N449" t="s">
        <v>129</v>
      </c>
      <c r="O449" t="s">
        <v>130</v>
      </c>
      <c r="P449" t="s">
        <v>129</v>
      </c>
      <c r="Q449">
        <v>7</v>
      </c>
      <c r="R449">
        <v>76003</v>
      </c>
    </row>
    <row r="450" spans="1:18" x14ac:dyDescent="0.25">
      <c r="A450">
        <v>60000449</v>
      </c>
      <c r="B450">
        <v>44</v>
      </c>
      <c r="C450" t="s">
        <v>86</v>
      </c>
      <c r="D450" t="s">
        <v>87</v>
      </c>
      <c r="E450" t="s">
        <v>96</v>
      </c>
      <c r="F450" t="s">
        <v>102</v>
      </c>
      <c r="G450">
        <v>34</v>
      </c>
      <c r="H450" t="s">
        <v>111</v>
      </c>
      <c r="I450" t="s">
        <v>149</v>
      </c>
      <c r="J450" t="s">
        <v>16</v>
      </c>
      <c r="K450" t="s">
        <v>27</v>
      </c>
      <c r="L450" t="s">
        <v>128</v>
      </c>
      <c r="M450" t="s">
        <v>129</v>
      </c>
      <c r="N450" t="s">
        <v>129</v>
      </c>
      <c r="O450" t="s">
        <v>129</v>
      </c>
      <c r="P450" t="s">
        <v>129</v>
      </c>
      <c r="Q450">
        <v>6</v>
      </c>
      <c r="R450">
        <v>46543</v>
      </c>
    </row>
    <row r="451" spans="1:18" x14ac:dyDescent="0.25">
      <c r="A451">
        <v>60000450</v>
      </c>
      <c r="B451">
        <v>29</v>
      </c>
      <c r="C451" t="s">
        <v>86</v>
      </c>
      <c r="D451" t="s">
        <v>88</v>
      </c>
      <c r="E451" t="s">
        <v>96</v>
      </c>
      <c r="F451" t="s">
        <v>102</v>
      </c>
      <c r="G451">
        <v>18</v>
      </c>
      <c r="H451" t="s">
        <v>132</v>
      </c>
      <c r="I451" t="s">
        <v>22</v>
      </c>
      <c r="J451" t="s">
        <v>14</v>
      </c>
      <c r="K451" t="s">
        <v>46</v>
      </c>
      <c r="L451" t="s">
        <v>59</v>
      </c>
      <c r="M451" t="s">
        <v>129</v>
      </c>
      <c r="N451" t="s">
        <v>130</v>
      </c>
      <c r="O451" t="s">
        <v>129</v>
      </c>
      <c r="P451" t="s">
        <v>130</v>
      </c>
      <c r="Q451">
        <v>0</v>
      </c>
      <c r="R451">
        <v>81088</v>
      </c>
    </row>
    <row r="452" spans="1:18" x14ac:dyDescent="0.25">
      <c r="A452">
        <v>60000451</v>
      </c>
      <c r="B452">
        <v>48</v>
      </c>
      <c r="C452" t="s">
        <v>86</v>
      </c>
      <c r="D452" t="s">
        <v>88</v>
      </c>
      <c r="E452" t="s">
        <v>99</v>
      </c>
      <c r="F452" t="s">
        <v>102</v>
      </c>
      <c r="G452">
        <v>32</v>
      </c>
      <c r="H452" t="s">
        <v>111</v>
      </c>
      <c r="I452" t="s">
        <v>11</v>
      </c>
      <c r="J452" t="s">
        <v>53</v>
      </c>
      <c r="K452" t="s">
        <v>72</v>
      </c>
      <c r="L452" t="s">
        <v>59</v>
      </c>
      <c r="M452" t="s">
        <v>129</v>
      </c>
      <c r="N452" t="s">
        <v>129</v>
      </c>
      <c r="O452" t="s">
        <v>129</v>
      </c>
      <c r="P452" t="s">
        <v>129</v>
      </c>
      <c r="Q452">
        <v>1</v>
      </c>
      <c r="R452">
        <v>69209</v>
      </c>
    </row>
    <row r="453" spans="1:18" x14ac:dyDescent="0.25">
      <c r="A453">
        <v>60000452</v>
      </c>
      <c r="B453">
        <v>23</v>
      </c>
      <c r="C453" t="s">
        <v>85</v>
      </c>
      <c r="D453" t="s">
        <v>88</v>
      </c>
      <c r="E453" t="s">
        <v>99</v>
      </c>
      <c r="F453" t="s">
        <v>103</v>
      </c>
      <c r="G453">
        <v>31</v>
      </c>
      <c r="H453" t="s">
        <v>110</v>
      </c>
      <c r="I453" t="s">
        <v>142</v>
      </c>
      <c r="J453" t="s">
        <v>32</v>
      </c>
      <c r="K453" t="s">
        <v>58</v>
      </c>
      <c r="L453" t="s">
        <v>128</v>
      </c>
      <c r="M453" t="s">
        <v>130</v>
      </c>
      <c r="N453" t="s">
        <v>130</v>
      </c>
      <c r="O453" t="s">
        <v>130</v>
      </c>
      <c r="P453" t="s">
        <v>129</v>
      </c>
      <c r="Q453">
        <v>2</v>
      </c>
      <c r="R453">
        <v>33431</v>
      </c>
    </row>
    <row r="454" spans="1:18" x14ac:dyDescent="0.25">
      <c r="A454">
        <v>60000453</v>
      </c>
      <c r="B454">
        <v>38</v>
      </c>
      <c r="C454" t="s">
        <v>85</v>
      </c>
      <c r="D454" t="s">
        <v>87</v>
      </c>
      <c r="E454" t="s">
        <v>91</v>
      </c>
      <c r="F454" t="s">
        <v>103</v>
      </c>
      <c r="G454">
        <v>17</v>
      </c>
      <c r="H454" t="s">
        <v>132</v>
      </c>
      <c r="I454" t="s">
        <v>148</v>
      </c>
      <c r="J454" t="s">
        <v>23</v>
      </c>
      <c r="K454" t="s">
        <v>72</v>
      </c>
      <c r="L454" t="s">
        <v>59</v>
      </c>
      <c r="M454" t="s">
        <v>129</v>
      </c>
      <c r="N454" t="s">
        <v>130</v>
      </c>
      <c r="O454" t="s">
        <v>129</v>
      </c>
      <c r="P454" t="s">
        <v>129</v>
      </c>
      <c r="Q454">
        <v>0</v>
      </c>
      <c r="R454">
        <v>59716</v>
      </c>
    </row>
    <row r="455" spans="1:18" x14ac:dyDescent="0.25">
      <c r="A455">
        <v>60000454</v>
      </c>
      <c r="B455">
        <v>27</v>
      </c>
      <c r="C455" t="s">
        <v>85</v>
      </c>
      <c r="D455" t="s">
        <v>87</v>
      </c>
      <c r="E455" t="s">
        <v>91</v>
      </c>
      <c r="F455" t="s">
        <v>103</v>
      </c>
      <c r="G455">
        <v>32</v>
      </c>
      <c r="H455" t="s">
        <v>111</v>
      </c>
      <c r="I455" t="s">
        <v>140</v>
      </c>
      <c r="J455" t="s">
        <v>62</v>
      </c>
      <c r="K455" t="s">
        <v>49</v>
      </c>
      <c r="L455" t="s">
        <v>59</v>
      </c>
      <c r="M455" t="s">
        <v>130</v>
      </c>
      <c r="N455" t="s">
        <v>129</v>
      </c>
      <c r="O455" t="s">
        <v>130</v>
      </c>
      <c r="P455" t="s">
        <v>129</v>
      </c>
      <c r="Q455">
        <v>4</v>
      </c>
      <c r="R455">
        <v>84839</v>
      </c>
    </row>
    <row r="456" spans="1:18" x14ac:dyDescent="0.25">
      <c r="A456">
        <v>60000455</v>
      </c>
      <c r="B456">
        <v>57</v>
      </c>
      <c r="C456" t="s">
        <v>86</v>
      </c>
      <c r="D456" t="s">
        <v>88</v>
      </c>
      <c r="E456" t="s">
        <v>95</v>
      </c>
      <c r="F456" t="s">
        <v>104</v>
      </c>
      <c r="G456">
        <v>35</v>
      </c>
      <c r="H456" t="s">
        <v>111</v>
      </c>
      <c r="I456" t="s">
        <v>145</v>
      </c>
      <c r="J456" t="s">
        <v>32</v>
      </c>
      <c r="K456" t="s">
        <v>52</v>
      </c>
      <c r="L456" t="s">
        <v>10</v>
      </c>
      <c r="M456" t="s">
        <v>129</v>
      </c>
      <c r="N456" t="s">
        <v>129</v>
      </c>
      <c r="O456" t="s">
        <v>129</v>
      </c>
      <c r="P456" t="s">
        <v>130</v>
      </c>
      <c r="Q456">
        <v>0</v>
      </c>
      <c r="R456">
        <v>52981</v>
      </c>
    </row>
    <row r="457" spans="1:18" x14ac:dyDescent="0.25">
      <c r="A457">
        <v>60000456</v>
      </c>
      <c r="B457">
        <v>27</v>
      </c>
      <c r="C457" t="s">
        <v>85</v>
      </c>
      <c r="D457" t="s">
        <v>87</v>
      </c>
      <c r="E457" t="s">
        <v>91</v>
      </c>
      <c r="F457" t="s">
        <v>102</v>
      </c>
      <c r="G457">
        <v>25</v>
      </c>
      <c r="H457" t="s">
        <v>110</v>
      </c>
      <c r="I457" t="s">
        <v>143</v>
      </c>
      <c r="J457" t="s">
        <v>14</v>
      </c>
      <c r="K457" t="s">
        <v>30</v>
      </c>
      <c r="L457" t="s">
        <v>10</v>
      </c>
      <c r="M457" t="s">
        <v>130</v>
      </c>
      <c r="N457" t="s">
        <v>130</v>
      </c>
      <c r="O457" t="s">
        <v>130</v>
      </c>
      <c r="P457" t="s">
        <v>130</v>
      </c>
      <c r="Q457">
        <v>0</v>
      </c>
      <c r="R457">
        <v>75264</v>
      </c>
    </row>
    <row r="458" spans="1:18" x14ac:dyDescent="0.25">
      <c r="A458">
        <v>60000457</v>
      </c>
      <c r="B458">
        <v>54</v>
      </c>
      <c r="C458" t="s">
        <v>85</v>
      </c>
      <c r="D458" t="s">
        <v>88</v>
      </c>
      <c r="E458" t="s">
        <v>91</v>
      </c>
      <c r="F458" t="s">
        <v>103</v>
      </c>
      <c r="G458">
        <v>17</v>
      </c>
      <c r="H458" t="s">
        <v>132</v>
      </c>
      <c r="I458" t="s">
        <v>148</v>
      </c>
      <c r="J458" t="s">
        <v>14</v>
      </c>
      <c r="K458" t="s">
        <v>33</v>
      </c>
      <c r="L458" t="s">
        <v>128</v>
      </c>
      <c r="M458" t="s">
        <v>130</v>
      </c>
      <c r="N458" t="s">
        <v>129</v>
      </c>
      <c r="O458" t="s">
        <v>129</v>
      </c>
      <c r="P458" t="s">
        <v>130</v>
      </c>
      <c r="Q458">
        <v>0</v>
      </c>
      <c r="R458">
        <v>40112</v>
      </c>
    </row>
    <row r="459" spans="1:18" x14ac:dyDescent="0.25">
      <c r="A459">
        <v>60000458</v>
      </c>
      <c r="B459">
        <v>31</v>
      </c>
      <c r="C459" t="s">
        <v>85</v>
      </c>
      <c r="D459" t="s">
        <v>88</v>
      </c>
      <c r="E459" t="s">
        <v>95</v>
      </c>
      <c r="F459" t="s">
        <v>104</v>
      </c>
      <c r="G459">
        <v>32</v>
      </c>
      <c r="H459" t="s">
        <v>111</v>
      </c>
      <c r="I459" t="s">
        <v>142</v>
      </c>
      <c r="J459" t="s">
        <v>12</v>
      </c>
      <c r="K459" t="s">
        <v>34</v>
      </c>
      <c r="L459" t="s">
        <v>128</v>
      </c>
      <c r="M459" t="s">
        <v>129</v>
      </c>
      <c r="N459" t="s">
        <v>130</v>
      </c>
      <c r="O459" t="s">
        <v>130</v>
      </c>
      <c r="P459" t="s">
        <v>129</v>
      </c>
      <c r="Q459">
        <v>1</v>
      </c>
      <c r="R459">
        <v>35550</v>
      </c>
    </row>
    <row r="460" spans="1:18" x14ac:dyDescent="0.25">
      <c r="A460">
        <v>60000459</v>
      </c>
      <c r="B460">
        <v>21</v>
      </c>
      <c r="C460" t="s">
        <v>86</v>
      </c>
      <c r="D460" t="s">
        <v>88</v>
      </c>
      <c r="E460" t="s">
        <v>94</v>
      </c>
      <c r="F460" t="s">
        <v>104</v>
      </c>
      <c r="G460">
        <v>13</v>
      </c>
      <c r="H460" t="s">
        <v>132</v>
      </c>
      <c r="I460" t="s">
        <v>141</v>
      </c>
      <c r="J460" t="s">
        <v>62</v>
      </c>
      <c r="K460" t="s">
        <v>48</v>
      </c>
      <c r="L460" t="s">
        <v>10</v>
      </c>
      <c r="M460" t="s">
        <v>130</v>
      </c>
      <c r="N460" t="s">
        <v>129</v>
      </c>
      <c r="O460" t="s">
        <v>130</v>
      </c>
      <c r="P460" t="s">
        <v>130</v>
      </c>
      <c r="Q460">
        <v>0</v>
      </c>
      <c r="R460">
        <v>31234</v>
      </c>
    </row>
    <row r="461" spans="1:18" x14ac:dyDescent="0.25">
      <c r="A461">
        <v>60000460</v>
      </c>
      <c r="B461">
        <v>24</v>
      </c>
      <c r="C461" t="s">
        <v>85</v>
      </c>
      <c r="D461" t="s">
        <v>87</v>
      </c>
      <c r="E461" t="s">
        <v>94</v>
      </c>
      <c r="F461" t="s">
        <v>102</v>
      </c>
      <c r="G461">
        <v>15</v>
      </c>
      <c r="H461" t="s">
        <v>132</v>
      </c>
      <c r="I461" t="s">
        <v>11</v>
      </c>
      <c r="J461" t="s">
        <v>25</v>
      </c>
      <c r="K461" t="s">
        <v>52</v>
      </c>
      <c r="L461" t="s">
        <v>10</v>
      </c>
      <c r="M461" t="s">
        <v>130</v>
      </c>
      <c r="N461" t="s">
        <v>130</v>
      </c>
      <c r="O461" t="s">
        <v>129</v>
      </c>
      <c r="P461" t="s">
        <v>129</v>
      </c>
      <c r="Q461">
        <v>5</v>
      </c>
      <c r="R461">
        <v>47650</v>
      </c>
    </row>
    <row r="462" spans="1:18" x14ac:dyDescent="0.25">
      <c r="A462">
        <v>60000461</v>
      </c>
      <c r="B462">
        <v>61</v>
      </c>
      <c r="C462" t="s">
        <v>85</v>
      </c>
      <c r="D462" t="s">
        <v>87</v>
      </c>
      <c r="E462" t="s">
        <v>92</v>
      </c>
      <c r="F462" t="s">
        <v>104</v>
      </c>
      <c r="G462">
        <v>29</v>
      </c>
      <c r="H462" t="s">
        <v>110</v>
      </c>
      <c r="I462" t="s">
        <v>143</v>
      </c>
      <c r="J462" t="s">
        <v>32</v>
      </c>
      <c r="K462" t="s">
        <v>34</v>
      </c>
      <c r="L462" t="s">
        <v>59</v>
      </c>
      <c r="M462" t="s">
        <v>129</v>
      </c>
      <c r="N462" t="s">
        <v>129</v>
      </c>
      <c r="O462" t="s">
        <v>130</v>
      </c>
      <c r="P462" t="s">
        <v>130</v>
      </c>
      <c r="Q462">
        <v>0</v>
      </c>
      <c r="R462">
        <v>74390</v>
      </c>
    </row>
    <row r="463" spans="1:18" x14ac:dyDescent="0.25">
      <c r="A463">
        <v>60000462</v>
      </c>
      <c r="B463">
        <v>52</v>
      </c>
      <c r="C463" t="s">
        <v>86</v>
      </c>
      <c r="D463" t="s">
        <v>88</v>
      </c>
      <c r="E463" t="s">
        <v>99</v>
      </c>
      <c r="F463" t="s">
        <v>103</v>
      </c>
      <c r="G463">
        <v>27</v>
      </c>
      <c r="H463" t="s">
        <v>110</v>
      </c>
      <c r="I463" t="s">
        <v>147</v>
      </c>
      <c r="J463" t="s">
        <v>14</v>
      </c>
      <c r="K463" t="s">
        <v>31</v>
      </c>
      <c r="L463" t="s">
        <v>128</v>
      </c>
      <c r="M463" t="s">
        <v>129</v>
      </c>
      <c r="N463" t="s">
        <v>129</v>
      </c>
      <c r="O463" t="s">
        <v>130</v>
      </c>
      <c r="P463" t="s">
        <v>129</v>
      </c>
      <c r="Q463">
        <v>1</v>
      </c>
      <c r="R463">
        <v>31964</v>
      </c>
    </row>
    <row r="464" spans="1:18" x14ac:dyDescent="0.25">
      <c r="A464">
        <v>60000463</v>
      </c>
      <c r="B464">
        <v>62</v>
      </c>
      <c r="C464" t="s">
        <v>86</v>
      </c>
      <c r="D464" t="s">
        <v>88</v>
      </c>
      <c r="E464" t="s">
        <v>98</v>
      </c>
      <c r="F464" t="s">
        <v>103</v>
      </c>
      <c r="G464">
        <v>18</v>
      </c>
      <c r="H464" t="s">
        <v>132</v>
      </c>
      <c r="I464" t="s">
        <v>141</v>
      </c>
      <c r="J464" t="s">
        <v>75</v>
      </c>
      <c r="K464" t="s">
        <v>44</v>
      </c>
      <c r="L464" t="s">
        <v>128</v>
      </c>
      <c r="M464" t="s">
        <v>130</v>
      </c>
      <c r="N464" t="s">
        <v>129</v>
      </c>
      <c r="O464" t="s">
        <v>130</v>
      </c>
      <c r="P464" t="s">
        <v>130</v>
      </c>
      <c r="Q464">
        <v>0</v>
      </c>
      <c r="R464">
        <v>36758</v>
      </c>
    </row>
    <row r="465" spans="1:18" x14ac:dyDescent="0.25">
      <c r="A465">
        <v>60000464</v>
      </c>
      <c r="B465">
        <v>29</v>
      </c>
      <c r="C465" t="s">
        <v>85</v>
      </c>
      <c r="D465" t="s">
        <v>88</v>
      </c>
      <c r="E465" t="s">
        <v>96</v>
      </c>
      <c r="F465" t="s">
        <v>102</v>
      </c>
      <c r="G465">
        <v>20</v>
      </c>
      <c r="H465" t="s">
        <v>109</v>
      </c>
      <c r="I465" t="s">
        <v>141</v>
      </c>
      <c r="J465" t="s">
        <v>47</v>
      </c>
      <c r="K465" t="s">
        <v>41</v>
      </c>
      <c r="L465" t="s">
        <v>59</v>
      </c>
      <c r="M465" t="s">
        <v>130</v>
      </c>
      <c r="N465" t="s">
        <v>130</v>
      </c>
      <c r="O465" t="s">
        <v>129</v>
      </c>
      <c r="P465" t="s">
        <v>129</v>
      </c>
      <c r="Q465">
        <v>3</v>
      </c>
      <c r="R465">
        <v>74360</v>
      </c>
    </row>
    <row r="466" spans="1:18" x14ac:dyDescent="0.25">
      <c r="A466">
        <v>60000465</v>
      </c>
      <c r="B466">
        <v>53</v>
      </c>
      <c r="C466" t="s">
        <v>86</v>
      </c>
      <c r="D466" t="s">
        <v>88</v>
      </c>
      <c r="E466" t="s">
        <v>5</v>
      </c>
      <c r="F466" t="s">
        <v>103</v>
      </c>
      <c r="G466">
        <v>15</v>
      </c>
      <c r="H466" t="s">
        <v>132</v>
      </c>
      <c r="I466" t="s">
        <v>140</v>
      </c>
      <c r="J466" t="s">
        <v>14</v>
      </c>
      <c r="K466" t="s">
        <v>70</v>
      </c>
      <c r="L466" t="s">
        <v>128</v>
      </c>
      <c r="M466" t="s">
        <v>130</v>
      </c>
      <c r="N466" t="s">
        <v>130</v>
      </c>
      <c r="O466" t="s">
        <v>129</v>
      </c>
      <c r="P466" t="s">
        <v>129</v>
      </c>
      <c r="Q466">
        <v>6</v>
      </c>
      <c r="R466">
        <v>38342</v>
      </c>
    </row>
    <row r="467" spans="1:18" x14ac:dyDescent="0.25">
      <c r="A467">
        <v>60000466</v>
      </c>
      <c r="B467">
        <v>34</v>
      </c>
      <c r="C467" t="s">
        <v>86</v>
      </c>
      <c r="D467" t="s">
        <v>87</v>
      </c>
      <c r="E467" t="s">
        <v>98</v>
      </c>
      <c r="F467" t="s">
        <v>103</v>
      </c>
      <c r="G467">
        <v>25</v>
      </c>
      <c r="H467" t="s">
        <v>110</v>
      </c>
      <c r="I467" t="s">
        <v>143</v>
      </c>
      <c r="J467" t="s">
        <v>12</v>
      </c>
      <c r="K467" t="s">
        <v>27</v>
      </c>
      <c r="L467" t="s">
        <v>128</v>
      </c>
      <c r="M467" t="s">
        <v>130</v>
      </c>
      <c r="N467" t="s">
        <v>129</v>
      </c>
      <c r="O467" t="s">
        <v>130</v>
      </c>
      <c r="P467" t="s">
        <v>130</v>
      </c>
      <c r="Q467">
        <v>0</v>
      </c>
      <c r="R467">
        <v>23348</v>
      </c>
    </row>
    <row r="468" spans="1:18" x14ac:dyDescent="0.25">
      <c r="A468">
        <v>60000467</v>
      </c>
      <c r="B468">
        <v>23</v>
      </c>
      <c r="C468" t="s">
        <v>86</v>
      </c>
      <c r="D468" t="s">
        <v>87</v>
      </c>
      <c r="E468" t="s">
        <v>99</v>
      </c>
      <c r="F468" t="s">
        <v>103</v>
      </c>
      <c r="G468">
        <v>10</v>
      </c>
      <c r="H468" t="s">
        <v>108</v>
      </c>
      <c r="I468" t="s">
        <v>139</v>
      </c>
      <c r="J468" t="s">
        <v>9</v>
      </c>
      <c r="K468" t="s">
        <v>57</v>
      </c>
      <c r="L468" t="s">
        <v>128</v>
      </c>
      <c r="M468" t="s">
        <v>129</v>
      </c>
      <c r="N468" t="s">
        <v>129</v>
      </c>
      <c r="O468" t="s">
        <v>129</v>
      </c>
      <c r="P468" t="s">
        <v>130</v>
      </c>
      <c r="Q468">
        <v>0</v>
      </c>
      <c r="R468">
        <v>59192</v>
      </c>
    </row>
    <row r="469" spans="1:18" x14ac:dyDescent="0.25">
      <c r="A469">
        <v>60000468</v>
      </c>
      <c r="B469">
        <v>46</v>
      </c>
      <c r="C469" t="s">
        <v>85</v>
      </c>
      <c r="D469" t="s">
        <v>87</v>
      </c>
      <c r="E469" t="s">
        <v>91</v>
      </c>
      <c r="F469" t="s">
        <v>102</v>
      </c>
      <c r="G469">
        <v>13</v>
      </c>
      <c r="H469" t="s">
        <v>132</v>
      </c>
      <c r="I469" t="s">
        <v>144</v>
      </c>
      <c r="J469" t="s">
        <v>53</v>
      </c>
      <c r="K469" t="s">
        <v>34</v>
      </c>
      <c r="L469" t="s">
        <v>59</v>
      </c>
      <c r="M469" t="s">
        <v>130</v>
      </c>
      <c r="N469" t="s">
        <v>129</v>
      </c>
      <c r="O469" t="s">
        <v>130</v>
      </c>
      <c r="P469" t="s">
        <v>129</v>
      </c>
      <c r="Q469">
        <v>6</v>
      </c>
      <c r="R469">
        <v>84233</v>
      </c>
    </row>
    <row r="470" spans="1:18" x14ac:dyDescent="0.25">
      <c r="A470">
        <v>60000469</v>
      </c>
      <c r="B470">
        <v>53</v>
      </c>
      <c r="C470" t="s">
        <v>85</v>
      </c>
      <c r="D470" t="s">
        <v>88</v>
      </c>
      <c r="E470" t="s">
        <v>97</v>
      </c>
      <c r="F470" t="s">
        <v>102</v>
      </c>
      <c r="G470">
        <v>28</v>
      </c>
      <c r="H470" t="s">
        <v>110</v>
      </c>
      <c r="I470" t="s">
        <v>140</v>
      </c>
      <c r="J470" t="s">
        <v>21</v>
      </c>
      <c r="K470" t="s">
        <v>49</v>
      </c>
      <c r="L470" t="s">
        <v>10</v>
      </c>
      <c r="M470" t="s">
        <v>130</v>
      </c>
      <c r="N470" t="s">
        <v>129</v>
      </c>
      <c r="O470" t="s">
        <v>130</v>
      </c>
      <c r="P470" t="s">
        <v>129</v>
      </c>
      <c r="Q470">
        <v>6</v>
      </c>
      <c r="R470">
        <v>68066</v>
      </c>
    </row>
    <row r="471" spans="1:18" x14ac:dyDescent="0.25">
      <c r="A471">
        <v>60000470</v>
      </c>
      <c r="B471">
        <v>58</v>
      </c>
      <c r="C471" t="s">
        <v>86</v>
      </c>
      <c r="D471" t="s">
        <v>87</v>
      </c>
      <c r="E471" t="s">
        <v>100</v>
      </c>
      <c r="F471" t="s">
        <v>102</v>
      </c>
      <c r="G471">
        <v>23</v>
      </c>
      <c r="H471" t="s">
        <v>109</v>
      </c>
      <c r="I471" t="s">
        <v>149</v>
      </c>
      <c r="J471" t="s">
        <v>21</v>
      </c>
      <c r="K471" t="s">
        <v>13</v>
      </c>
      <c r="L471" t="s">
        <v>128</v>
      </c>
      <c r="M471" t="s">
        <v>129</v>
      </c>
      <c r="N471" t="s">
        <v>130</v>
      </c>
      <c r="O471" t="s">
        <v>129</v>
      </c>
      <c r="P471" t="s">
        <v>129</v>
      </c>
      <c r="Q471">
        <v>6</v>
      </c>
      <c r="R471">
        <v>76494</v>
      </c>
    </row>
    <row r="472" spans="1:18" x14ac:dyDescent="0.25">
      <c r="A472">
        <v>60000471</v>
      </c>
      <c r="B472">
        <v>49</v>
      </c>
      <c r="C472" t="s">
        <v>86</v>
      </c>
      <c r="D472" t="s">
        <v>87</v>
      </c>
      <c r="E472" t="s">
        <v>5</v>
      </c>
      <c r="F472" t="s">
        <v>104</v>
      </c>
      <c r="G472">
        <v>13</v>
      </c>
      <c r="H472" t="s">
        <v>132</v>
      </c>
      <c r="I472" t="s">
        <v>55</v>
      </c>
      <c r="J472" t="s">
        <v>23</v>
      </c>
      <c r="K472" t="s">
        <v>63</v>
      </c>
      <c r="L472" t="s">
        <v>128</v>
      </c>
      <c r="M472" t="s">
        <v>129</v>
      </c>
      <c r="N472" t="s">
        <v>129</v>
      </c>
      <c r="O472" t="s">
        <v>130</v>
      </c>
      <c r="P472" t="s">
        <v>129</v>
      </c>
      <c r="Q472">
        <v>6</v>
      </c>
      <c r="R472">
        <v>34053</v>
      </c>
    </row>
    <row r="473" spans="1:18" x14ac:dyDescent="0.25">
      <c r="A473">
        <v>60000472</v>
      </c>
      <c r="B473">
        <v>45</v>
      </c>
      <c r="C473" t="s">
        <v>86</v>
      </c>
      <c r="D473" t="s">
        <v>87</v>
      </c>
      <c r="E473" t="s">
        <v>97</v>
      </c>
      <c r="F473" t="s">
        <v>103</v>
      </c>
      <c r="G473">
        <v>32</v>
      </c>
      <c r="H473" t="s">
        <v>111</v>
      </c>
      <c r="I473" t="s">
        <v>140</v>
      </c>
      <c r="J473" t="s">
        <v>53</v>
      </c>
      <c r="K473" t="s">
        <v>40</v>
      </c>
      <c r="L473" t="s">
        <v>128</v>
      </c>
      <c r="M473" t="s">
        <v>130</v>
      </c>
      <c r="N473" t="s">
        <v>130</v>
      </c>
      <c r="O473" t="s">
        <v>129</v>
      </c>
      <c r="P473" t="s">
        <v>130</v>
      </c>
      <c r="Q473">
        <v>0</v>
      </c>
      <c r="R473">
        <v>79293</v>
      </c>
    </row>
    <row r="474" spans="1:18" x14ac:dyDescent="0.25">
      <c r="A474">
        <v>60000473</v>
      </c>
      <c r="B474">
        <v>37</v>
      </c>
      <c r="C474" t="s">
        <v>86</v>
      </c>
      <c r="D474" t="s">
        <v>88</v>
      </c>
      <c r="E474" t="s">
        <v>97</v>
      </c>
      <c r="F474" t="s">
        <v>103</v>
      </c>
      <c r="G474">
        <v>23</v>
      </c>
      <c r="H474" t="s">
        <v>109</v>
      </c>
      <c r="I474" t="s">
        <v>148</v>
      </c>
      <c r="J474" t="s">
        <v>53</v>
      </c>
      <c r="K474" t="s">
        <v>39</v>
      </c>
      <c r="L474" t="s">
        <v>59</v>
      </c>
      <c r="M474" t="s">
        <v>129</v>
      </c>
      <c r="N474" t="s">
        <v>130</v>
      </c>
      <c r="O474" t="s">
        <v>130</v>
      </c>
      <c r="P474" t="s">
        <v>130</v>
      </c>
      <c r="Q474">
        <v>0</v>
      </c>
      <c r="R474">
        <v>25683</v>
      </c>
    </row>
    <row r="475" spans="1:18" x14ac:dyDescent="0.25">
      <c r="A475">
        <v>60000474</v>
      </c>
      <c r="B475">
        <v>28</v>
      </c>
      <c r="C475" t="s">
        <v>86</v>
      </c>
      <c r="D475" t="s">
        <v>87</v>
      </c>
      <c r="E475" t="s">
        <v>97</v>
      </c>
      <c r="F475" t="s">
        <v>102</v>
      </c>
      <c r="G475">
        <v>15</v>
      </c>
      <c r="H475" t="s">
        <v>132</v>
      </c>
      <c r="I475" t="s">
        <v>50</v>
      </c>
      <c r="J475" t="s">
        <v>23</v>
      </c>
      <c r="K475" t="s">
        <v>56</v>
      </c>
      <c r="L475" t="s">
        <v>128</v>
      </c>
      <c r="M475" t="s">
        <v>129</v>
      </c>
      <c r="N475" t="s">
        <v>129</v>
      </c>
      <c r="O475" t="s">
        <v>130</v>
      </c>
      <c r="P475" t="s">
        <v>130</v>
      </c>
      <c r="Q475">
        <v>0</v>
      </c>
      <c r="R475">
        <v>57179</v>
      </c>
    </row>
    <row r="476" spans="1:18" x14ac:dyDescent="0.25">
      <c r="A476">
        <v>60000475</v>
      </c>
      <c r="B476">
        <v>45</v>
      </c>
      <c r="C476" t="s">
        <v>86</v>
      </c>
      <c r="D476" t="s">
        <v>88</v>
      </c>
      <c r="E476" t="s">
        <v>96</v>
      </c>
      <c r="F476" t="s">
        <v>103</v>
      </c>
      <c r="G476">
        <v>20</v>
      </c>
      <c r="H476" t="s">
        <v>109</v>
      </c>
      <c r="I476" t="s">
        <v>145</v>
      </c>
      <c r="J476" t="s">
        <v>21</v>
      </c>
      <c r="K476" t="s">
        <v>24</v>
      </c>
      <c r="L476" t="s">
        <v>128</v>
      </c>
      <c r="M476" t="s">
        <v>130</v>
      </c>
      <c r="N476" t="s">
        <v>129</v>
      </c>
      <c r="O476" t="s">
        <v>129</v>
      </c>
      <c r="P476" t="s">
        <v>129</v>
      </c>
      <c r="Q476">
        <v>3</v>
      </c>
      <c r="R476">
        <v>75455</v>
      </c>
    </row>
    <row r="477" spans="1:18" x14ac:dyDescent="0.25">
      <c r="A477">
        <v>60000476</v>
      </c>
      <c r="B477">
        <v>46</v>
      </c>
      <c r="C477" t="s">
        <v>86</v>
      </c>
      <c r="D477" t="s">
        <v>87</v>
      </c>
      <c r="E477" t="s">
        <v>92</v>
      </c>
      <c r="F477" t="s">
        <v>104</v>
      </c>
      <c r="G477">
        <v>31</v>
      </c>
      <c r="H477" t="s">
        <v>110</v>
      </c>
      <c r="I477" t="s">
        <v>145</v>
      </c>
      <c r="J477" t="s">
        <v>32</v>
      </c>
      <c r="K477" t="s">
        <v>56</v>
      </c>
      <c r="L477" t="s">
        <v>59</v>
      </c>
      <c r="M477" t="s">
        <v>129</v>
      </c>
      <c r="N477" t="s">
        <v>129</v>
      </c>
      <c r="O477" t="s">
        <v>130</v>
      </c>
      <c r="P477" t="s">
        <v>129</v>
      </c>
      <c r="Q477">
        <v>3</v>
      </c>
      <c r="R477">
        <v>84609</v>
      </c>
    </row>
    <row r="478" spans="1:18" x14ac:dyDescent="0.25">
      <c r="A478">
        <v>60000477</v>
      </c>
      <c r="B478">
        <v>50</v>
      </c>
      <c r="C478" t="s">
        <v>85</v>
      </c>
      <c r="D478" t="s">
        <v>88</v>
      </c>
      <c r="E478" t="s">
        <v>95</v>
      </c>
      <c r="F478" t="s">
        <v>103</v>
      </c>
      <c r="G478">
        <v>11</v>
      </c>
      <c r="H478" t="s">
        <v>108</v>
      </c>
      <c r="I478" t="s">
        <v>143</v>
      </c>
      <c r="J478" t="s">
        <v>21</v>
      </c>
      <c r="K478" t="s">
        <v>64</v>
      </c>
      <c r="L478" t="s">
        <v>10</v>
      </c>
      <c r="M478" t="s">
        <v>129</v>
      </c>
      <c r="N478" t="s">
        <v>129</v>
      </c>
      <c r="O478" t="s">
        <v>130</v>
      </c>
      <c r="P478" t="s">
        <v>129</v>
      </c>
      <c r="Q478">
        <v>5</v>
      </c>
      <c r="R478">
        <v>55080</v>
      </c>
    </row>
    <row r="479" spans="1:18" x14ac:dyDescent="0.25">
      <c r="A479">
        <v>60000478</v>
      </c>
      <c r="B479">
        <v>25</v>
      </c>
      <c r="C479" t="s">
        <v>86</v>
      </c>
      <c r="D479" t="s">
        <v>87</v>
      </c>
      <c r="E479" t="s">
        <v>5</v>
      </c>
      <c r="F479" t="s">
        <v>102</v>
      </c>
      <c r="G479">
        <v>35</v>
      </c>
      <c r="H479" t="s">
        <v>111</v>
      </c>
      <c r="I479" t="s">
        <v>150</v>
      </c>
      <c r="J479" t="s">
        <v>12</v>
      </c>
      <c r="K479" t="s">
        <v>49</v>
      </c>
      <c r="L479" t="s">
        <v>10</v>
      </c>
      <c r="M479" t="s">
        <v>129</v>
      </c>
      <c r="N479" t="s">
        <v>130</v>
      </c>
      <c r="O479" t="s">
        <v>130</v>
      </c>
      <c r="P479" t="s">
        <v>129</v>
      </c>
      <c r="Q479">
        <v>3</v>
      </c>
      <c r="R479">
        <v>56686</v>
      </c>
    </row>
    <row r="480" spans="1:18" x14ac:dyDescent="0.25">
      <c r="A480">
        <v>60000479</v>
      </c>
      <c r="B480">
        <v>38</v>
      </c>
      <c r="C480" t="s">
        <v>86</v>
      </c>
      <c r="D480" t="s">
        <v>87</v>
      </c>
      <c r="E480" t="s">
        <v>98</v>
      </c>
      <c r="F480" t="s">
        <v>102</v>
      </c>
      <c r="G480">
        <v>35</v>
      </c>
      <c r="H480" t="s">
        <v>111</v>
      </c>
      <c r="I480" t="s">
        <v>147</v>
      </c>
      <c r="J480" t="s">
        <v>21</v>
      </c>
      <c r="K480" t="s">
        <v>49</v>
      </c>
      <c r="L480" t="s">
        <v>10</v>
      </c>
      <c r="M480" t="s">
        <v>130</v>
      </c>
      <c r="N480" t="s">
        <v>129</v>
      </c>
      <c r="O480" t="s">
        <v>129</v>
      </c>
      <c r="P480" t="s">
        <v>129</v>
      </c>
      <c r="Q480">
        <v>5</v>
      </c>
      <c r="R480">
        <v>61577</v>
      </c>
    </row>
    <row r="481" spans="1:18" x14ac:dyDescent="0.25">
      <c r="A481">
        <v>60000480</v>
      </c>
      <c r="B481">
        <v>38</v>
      </c>
      <c r="C481" t="s">
        <v>86</v>
      </c>
      <c r="D481" t="s">
        <v>87</v>
      </c>
      <c r="E481" t="s">
        <v>97</v>
      </c>
      <c r="F481" t="s">
        <v>103</v>
      </c>
      <c r="G481">
        <v>20</v>
      </c>
      <c r="H481" t="s">
        <v>109</v>
      </c>
      <c r="I481" t="s">
        <v>148</v>
      </c>
      <c r="J481" t="s">
        <v>53</v>
      </c>
      <c r="K481" t="s">
        <v>63</v>
      </c>
      <c r="L481" t="s">
        <v>10</v>
      </c>
      <c r="M481" t="s">
        <v>129</v>
      </c>
      <c r="N481" t="s">
        <v>129</v>
      </c>
      <c r="O481" t="s">
        <v>130</v>
      </c>
      <c r="P481" t="s">
        <v>130</v>
      </c>
      <c r="Q481">
        <v>0</v>
      </c>
      <c r="R481">
        <v>56751</v>
      </c>
    </row>
    <row r="482" spans="1:18" x14ac:dyDescent="0.25">
      <c r="A482">
        <v>60000481</v>
      </c>
      <c r="B482">
        <v>45</v>
      </c>
      <c r="C482" t="s">
        <v>85</v>
      </c>
      <c r="D482" t="s">
        <v>87</v>
      </c>
      <c r="E482" t="s">
        <v>90</v>
      </c>
      <c r="F482" t="s">
        <v>102</v>
      </c>
      <c r="G482">
        <v>32</v>
      </c>
      <c r="H482" t="s">
        <v>111</v>
      </c>
      <c r="I482" t="s">
        <v>142</v>
      </c>
      <c r="J482" t="s">
        <v>16</v>
      </c>
      <c r="K482" t="s">
        <v>19</v>
      </c>
      <c r="L482" t="s">
        <v>59</v>
      </c>
      <c r="M482" t="s">
        <v>129</v>
      </c>
      <c r="N482" t="s">
        <v>130</v>
      </c>
      <c r="O482" t="s">
        <v>130</v>
      </c>
      <c r="P482" t="s">
        <v>129</v>
      </c>
      <c r="Q482">
        <v>3</v>
      </c>
      <c r="R482">
        <v>68563</v>
      </c>
    </row>
    <row r="483" spans="1:18" x14ac:dyDescent="0.25">
      <c r="A483">
        <v>60000482</v>
      </c>
      <c r="B483">
        <v>48</v>
      </c>
      <c r="C483" t="s">
        <v>85</v>
      </c>
      <c r="D483" t="s">
        <v>87</v>
      </c>
      <c r="E483" t="s">
        <v>98</v>
      </c>
      <c r="F483" t="s">
        <v>102</v>
      </c>
      <c r="G483">
        <v>31</v>
      </c>
      <c r="H483" t="s">
        <v>110</v>
      </c>
      <c r="I483" t="s">
        <v>145</v>
      </c>
      <c r="J483" t="s">
        <v>53</v>
      </c>
      <c r="K483" t="s">
        <v>33</v>
      </c>
      <c r="L483" t="s">
        <v>10</v>
      </c>
      <c r="M483" t="s">
        <v>130</v>
      </c>
      <c r="N483" t="s">
        <v>130</v>
      </c>
      <c r="O483" t="s">
        <v>129</v>
      </c>
      <c r="P483" t="s">
        <v>129</v>
      </c>
      <c r="Q483">
        <v>3</v>
      </c>
      <c r="R483">
        <v>71105</v>
      </c>
    </row>
    <row r="484" spans="1:18" x14ac:dyDescent="0.25">
      <c r="A484">
        <v>60000483</v>
      </c>
      <c r="B484">
        <v>57</v>
      </c>
      <c r="C484" t="s">
        <v>86</v>
      </c>
      <c r="D484" t="s">
        <v>88</v>
      </c>
      <c r="E484" t="s">
        <v>92</v>
      </c>
      <c r="F484" t="s">
        <v>103</v>
      </c>
      <c r="G484">
        <v>35</v>
      </c>
      <c r="H484" t="s">
        <v>111</v>
      </c>
      <c r="I484" t="s">
        <v>150</v>
      </c>
      <c r="J484" t="s">
        <v>53</v>
      </c>
      <c r="K484" t="s">
        <v>71</v>
      </c>
      <c r="L484" t="s">
        <v>59</v>
      </c>
      <c r="M484" t="s">
        <v>129</v>
      </c>
      <c r="N484" t="s">
        <v>129</v>
      </c>
      <c r="O484" t="s">
        <v>129</v>
      </c>
      <c r="P484" t="s">
        <v>129</v>
      </c>
      <c r="Q484">
        <v>1</v>
      </c>
      <c r="R484">
        <v>60253</v>
      </c>
    </row>
    <row r="485" spans="1:18" x14ac:dyDescent="0.25">
      <c r="A485">
        <v>60000484</v>
      </c>
      <c r="B485">
        <v>60</v>
      </c>
      <c r="C485" t="s">
        <v>86</v>
      </c>
      <c r="D485" t="s">
        <v>87</v>
      </c>
      <c r="E485" t="s">
        <v>97</v>
      </c>
      <c r="F485" t="s">
        <v>102</v>
      </c>
      <c r="G485">
        <v>30</v>
      </c>
      <c r="H485" t="s">
        <v>110</v>
      </c>
      <c r="I485" t="s">
        <v>139</v>
      </c>
      <c r="J485" t="s">
        <v>23</v>
      </c>
      <c r="K485" t="s">
        <v>46</v>
      </c>
      <c r="L485" t="s">
        <v>59</v>
      </c>
      <c r="M485" t="s">
        <v>129</v>
      </c>
      <c r="N485" t="s">
        <v>130</v>
      </c>
      <c r="O485" t="s">
        <v>130</v>
      </c>
      <c r="P485" t="s">
        <v>129</v>
      </c>
      <c r="Q485">
        <v>1</v>
      </c>
      <c r="R485">
        <v>80860</v>
      </c>
    </row>
    <row r="486" spans="1:18" x14ac:dyDescent="0.25">
      <c r="A486">
        <v>60000485</v>
      </c>
      <c r="B486">
        <v>33</v>
      </c>
      <c r="C486" t="s">
        <v>85</v>
      </c>
      <c r="D486" t="s">
        <v>88</v>
      </c>
      <c r="E486" t="s">
        <v>94</v>
      </c>
      <c r="F486" t="s">
        <v>102</v>
      </c>
      <c r="G486">
        <v>11</v>
      </c>
      <c r="H486" t="s">
        <v>108</v>
      </c>
      <c r="I486" t="s">
        <v>22</v>
      </c>
      <c r="J486" t="s">
        <v>23</v>
      </c>
      <c r="K486" t="s">
        <v>39</v>
      </c>
      <c r="L486" t="s">
        <v>59</v>
      </c>
      <c r="M486" t="s">
        <v>129</v>
      </c>
      <c r="N486" t="s">
        <v>129</v>
      </c>
      <c r="O486" t="s">
        <v>130</v>
      </c>
      <c r="P486" t="s">
        <v>130</v>
      </c>
      <c r="Q486">
        <v>0</v>
      </c>
      <c r="R486">
        <v>48374</v>
      </c>
    </row>
    <row r="487" spans="1:18" x14ac:dyDescent="0.25">
      <c r="A487">
        <v>60000486</v>
      </c>
      <c r="B487">
        <v>61</v>
      </c>
      <c r="C487" t="s">
        <v>85</v>
      </c>
      <c r="D487" t="s">
        <v>87</v>
      </c>
      <c r="E487" t="s">
        <v>91</v>
      </c>
      <c r="F487" t="s">
        <v>102</v>
      </c>
      <c r="G487">
        <v>14</v>
      </c>
      <c r="H487" t="s">
        <v>132</v>
      </c>
      <c r="I487" t="s">
        <v>148</v>
      </c>
      <c r="J487" t="s">
        <v>14</v>
      </c>
      <c r="K487" t="s">
        <v>20</v>
      </c>
      <c r="L487" t="s">
        <v>128</v>
      </c>
      <c r="M487" t="s">
        <v>129</v>
      </c>
      <c r="N487" t="s">
        <v>129</v>
      </c>
      <c r="O487" t="s">
        <v>129</v>
      </c>
      <c r="P487" t="s">
        <v>130</v>
      </c>
      <c r="Q487">
        <v>0</v>
      </c>
      <c r="R487">
        <v>51538</v>
      </c>
    </row>
    <row r="488" spans="1:18" x14ac:dyDescent="0.25">
      <c r="A488">
        <v>60000487</v>
      </c>
      <c r="B488">
        <v>40</v>
      </c>
      <c r="C488" t="s">
        <v>86</v>
      </c>
      <c r="D488" t="s">
        <v>88</v>
      </c>
      <c r="E488" t="s">
        <v>99</v>
      </c>
      <c r="F488" t="s">
        <v>103</v>
      </c>
      <c r="G488">
        <v>18</v>
      </c>
      <c r="H488" t="s">
        <v>132</v>
      </c>
      <c r="I488" t="s">
        <v>11</v>
      </c>
      <c r="J488" t="s">
        <v>47</v>
      </c>
      <c r="K488" t="s">
        <v>60</v>
      </c>
      <c r="L488" t="s">
        <v>59</v>
      </c>
      <c r="M488" t="s">
        <v>130</v>
      </c>
      <c r="N488" t="s">
        <v>130</v>
      </c>
      <c r="O488" t="s">
        <v>130</v>
      </c>
      <c r="P488" t="s">
        <v>129</v>
      </c>
      <c r="Q488">
        <v>1</v>
      </c>
      <c r="R488">
        <v>39944</v>
      </c>
    </row>
    <row r="489" spans="1:18" x14ac:dyDescent="0.25">
      <c r="A489">
        <v>60000488</v>
      </c>
      <c r="B489">
        <v>63</v>
      </c>
      <c r="C489" t="s">
        <v>85</v>
      </c>
      <c r="D489" t="s">
        <v>87</v>
      </c>
      <c r="E489" t="s">
        <v>91</v>
      </c>
      <c r="F489" t="s">
        <v>103</v>
      </c>
      <c r="G489">
        <v>11</v>
      </c>
      <c r="H489" t="s">
        <v>108</v>
      </c>
      <c r="I489" t="s">
        <v>50</v>
      </c>
      <c r="J489" t="s">
        <v>53</v>
      </c>
      <c r="K489" t="s">
        <v>63</v>
      </c>
      <c r="L489" t="s">
        <v>10</v>
      </c>
      <c r="M489" t="s">
        <v>130</v>
      </c>
      <c r="N489" t="s">
        <v>129</v>
      </c>
      <c r="O489" t="s">
        <v>130</v>
      </c>
      <c r="P489" t="s">
        <v>129</v>
      </c>
      <c r="Q489">
        <v>2</v>
      </c>
      <c r="R489">
        <v>84587</v>
      </c>
    </row>
    <row r="490" spans="1:18" x14ac:dyDescent="0.25">
      <c r="A490">
        <v>60000489</v>
      </c>
      <c r="B490">
        <v>42</v>
      </c>
      <c r="C490" t="s">
        <v>86</v>
      </c>
      <c r="D490" t="s">
        <v>88</v>
      </c>
      <c r="E490" t="s">
        <v>98</v>
      </c>
      <c r="F490" t="s">
        <v>104</v>
      </c>
      <c r="G490">
        <v>36</v>
      </c>
      <c r="H490" t="s">
        <v>111</v>
      </c>
      <c r="I490" t="s">
        <v>29</v>
      </c>
      <c r="J490" t="s">
        <v>16</v>
      </c>
      <c r="K490" t="s">
        <v>74</v>
      </c>
      <c r="L490" t="s">
        <v>59</v>
      </c>
      <c r="M490" t="s">
        <v>130</v>
      </c>
      <c r="N490" t="s">
        <v>129</v>
      </c>
      <c r="O490" t="s">
        <v>129</v>
      </c>
      <c r="P490" t="s">
        <v>129</v>
      </c>
      <c r="Q490">
        <v>0</v>
      </c>
      <c r="R490">
        <v>30344</v>
      </c>
    </row>
    <row r="491" spans="1:18" x14ac:dyDescent="0.25">
      <c r="A491">
        <v>60000490</v>
      </c>
      <c r="B491">
        <v>39</v>
      </c>
      <c r="C491" t="s">
        <v>85</v>
      </c>
      <c r="D491" t="s">
        <v>87</v>
      </c>
      <c r="E491" t="s">
        <v>91</v>
      </c>
      <c r="F491" t="s">
        <v>104</v>
      </c>
      <c r="G491">
        <v>24</v>
      </c>
      <c r="H491" t="s">
        <v>109</v>
      </c>
      <c r="I491" t="s">
        <v>141</v>
      </c>
      <c r="J491" t="s">
        <v>18</v>
      </c>
      <c r="K491" t="s">
        <v>61</v>
      </c>
      <c r="L491" t="s">
        <v>59</v>
      </c>
      <c r="M491" t="s">
        <v>129</v>
      </c>
      <c r="N491" t="s">
        <v>130</v>
      </c>
      <c r="O491" t="s">
        <v>130</v>
      </c>
      <c r="P491" t="s">
        <v>129</v>
      </c>
      <c r="Q491">
        <v>2</v>
      </c>
      <c r="R491">
        <v>37773</v>
      </c>
    </row>
    <row r="492" spans="1:18" x14ac:dyDescent="0.25">
      <c r="A492">
        <v>60000491</v>
      </c>
      <c r="B492">
        <v>50</v>
      </c>
      <c r="C492" t="s">
        <v>86</v>
      </c>
      <c r="D492" t="s">
        <v>87</v>
      </c>
      <c r="E492" t="s">
        <v>98</v>
      </c>
      <c r="F492" t="s">
        <v>102</v>
      </c>
      <c r="G492">
        <v>32</v>
      </c>
      <c r="H492" t="s">
        <v>111</v>
      </c>
      <c r="I492" t="s">
        <v>29</v>
      </c>
      <c r="J492" t="s">
        <v>12</v>
      </c>
      <c r="K492" t="s">
        <v>54</v>
      </c>
      <c r="L492" t="s">
        <v>59</v>
      </c>
      <c r="M492" t="s">
        <v>129</v>
      </c>
      <c r="N492" t="s">
        <v>129</v>
      </c>
      <c r="O492" t="s">
        <v>130</v>
      </c>
      <c r="P492" t="s">
        <v>129</v>
      </c>
      <c r="Q492">
        <v>7</v>
      </c>
      <c r="R492">
        <v>54503</v>
      </c>
    </row>
    <row r="493" spans="1:18" x14ac:dyDescent="0.25">
      <c r="A493">
        <v>60000492</v>
      </c>
      <c r="B493">
        <v>33</v>
      </c>
      <c r="C493" t="s">
        <v>85</v>
      </c>
      <c r="D493" t="s">
        <v>87</v>
      </c>
      <c r="E493" t="s">
        <v>5</v>
      </c>
      <c r="F493" t="s">
        <v>104</v>
      </c>
      <c r="G493">
        <v>17</v>
      </c>
      <c r="H493" t="s">
        <v>132</v>
      </c>
      <c r="I493" t="s">
        <v>145</v>
      </c>
      <c r="J493" t="s">
        <v>14</v>
      </c>
      <c r="K493" t="s">
        <v>73</v>
      </c>
      <c r="L493" t="s">
        <v>59</v>
      </c>
      <c r="M493" t="s">
        <v>130</v>
      </c>
      <c r="N493" t="s">
        <v>130</v>
      </c>
      <c r="O493" t="s">
        <v>129</v>
      </c>
      <c r="P493" t="s">
        <v>129</v>
      </c>
      <c r="Q493">
        <v>2</v>
      </c>
      <c r="R493">
        <v>69843</v>
      </c>
    </row>
    <row r="494" spans="1:18" x14ac:dyDescent="0.25">
      <c r="A494">
        <v>60000493</v>
      </c>
      <c r="B494">
        <v>58</v>
      </c>
      <c r="C494" t="s">
        <v>85</v>
      </c>
      <c r="D494" t="s">
        <v>88</v>
      </c>
      <c r="E494" t="s">
        <v>96</v>
      </c>
      <c r="F494" t="s">
        <v>103</v>
      </c>
      <c r="G494">
        <v>26</v>
      </c>
      <c r="H494" t="s">
        <v>110</v>
      </c>
      <c r="I494" t="s">
        <v>139</v>
      </c>
      <c r="J494" t="s">
        <v>12</v>
      </c>
      <c r="K494" t="s">
        <v>29</v>
      </c>
      <c r="L494" t="s">
        <v>59</v>
      </c>
      <c r="M494" t="s">
        <v>130</v>
      </c>
      <c r="N494" t="s">
        <v>129</v>
      </c>
      <c r="O494" t="s">
        <v>129</v>
      </c>
      <c r="P494" t="s">
        <v>129</v>
      </c>
      <c r="Q494">
        <v>2</v>
      </c>
      <c r="R494">
        <v>52179</v>
      </c>
    </row>
    <row r="495" spans="1:18" x14ac:dyDescent="0.25">
      <c r="A495">
        <v>60000494</v>
      </c>
      <c r="B495">
        <v>51</v>
      </c>
      <c r="C495" t="s">
        <v>85</v>
      </c>
      <c r="D495" t="s">
        <v>87</v>
      </c>
      <c r="E495" t="s">
        <v>99</v>
      </c>
      <c r="F495" t="s">
        <v>104</v>
      </c>
      <c r="G495">
        <v>29</v>
      </c>
      <c r="H495" t="s">
        <v>110</v>
      </c>
      <c r="I495" t="s">
        <v>146</v>
      </c>
      <c r="J495" t="s">
        <v>25</v>
      </c>
      <c r="K495" t="s">
        <v>11</v>
      </c>
      <c r="L495" t="s">
        <v>10</v>
      </c>
      <c r="M495" t="s">
        <v>130</v>
      </c>
      <c r="N495" t="s">
        <v>129</v>
      </c>
      <c r="O495" t="s">
        <v>129</v>
      </c>
      <c r="P495" t="s">
        <v>130</v>
      </c>
      <c r="Q495">
        <v>0</v>
      </c>
      <c r="R495">
        <v>74828</v>
      </c>
    </row>
    <row r="496" spans="1:18" x14ac:dyDescent="0.25">
      <c r="A496">
        <v>60000495</v>
      </c>
      <c r="B496">
        <v>55</v>
      </c>
      <c r="C496" t="s">
        <v>85</v>
      </c>
      <c r="D496" t="s">
        <v>88</v>
      </c>
      <c r="E496" t="s">
        <v>90</v>
      </c>
      <c r="F496" t="s">
        <v>103</v>
      </c>
      <c r="G496">
        <v>10</v>
      </c>
      <c r="H496" t="s">
        <v>108</v>
      </c>
      <c r="I496" t="s">
        <v>50</v>
      </c>
      <c r="J496" t="s">
        <v>9</v>
      </c>
      <c r="K496" t="s">
        <v>69</v>
      </c>
      <c r="L496" t="s">
        <v>59</v>
      </c>
      <c r="M496" t="s">
        <v>129</v>
      </c>
      <c r="N496" t="s">
        <v>129</v>
      </c>
      <c r="O496" t="s">
        <v>130</v>
      </c>
      <c r="P496" t="s">
        <v>129</v>
      </c>
      <c r="Q496">
        <v>0</v>
      </c>
      <c r="R496">
        <v>33616</v>
      </c>
    </row>
    <row r="497" spans="1:18" x14ac:dyDescent="0.25">
      <c r="A497">
        <v>60000496</v>
      </c>
      <c r="B497">
        <v>20</v>
      </c>
      <c r="C497" t="s">
        <v>85</v>
      </c>
      <c r="D497" t="s">
        <v>88</v>
      </c>
      <c r="E497" t="s">
        <v>96</v>
      </c>
      <c r="F497" t="s">
        <v>102</v>
      </c>
      <c r="G497">
        <v>18</v>
      </c>
      <c r="H497" t="s">
        <v>132</v>
      </c>
      <c r="I497" t="s">
        <v>142</v>
      </c>
      <c r="J497" t="s">
        <v>47</v>
      </c>
      <c r="K497" t="s">
        <v>68</v>
      </c>
      <c r="L497" t="s">
        <v>128</v>
      </c>
      <c r="M497" t="s">
        <v>130</v>
      </c>
      <c r="N497" t="s">
        <v>130</v>
      </c>
      <c r="O497" t="s">
        <v>130</v>
      </c>
      <c r="P497" t="s">
        <v>130</v>
      </c>
      <c r="Q497">
        <v>0</v>
      </c>
      <c r="R497">
        <v>26557</v>
      </c>
    </row>
    <row r="498" spans="1:18" x14ac:dyDescent="0.25">
      <c r="A498">
        <v>60000497</v>
      </c>
      <c r="B498">
        <v>31</v>
      </c>
      <c r="C498" t="s">
        <v>85</v>
      </c>
      <c r="D498" t="s">
        <v>88</v>
      </c>
      <c r="E498" t="s">
        <v>99</v>
      </c>
      <c r="F498" t="s">
        <v>102</v>
      </c>
      <c r="G498">
        <v>30</v>
      </c>
      <c r="H498" t="s">
        <v>110</v>
      </c>
      <c r="I498" t="s">
        <v>147</v>
      </c>
      <c r="J498" t="s">
        <v>23</v>
      </c>
      <c r="K498" t="s">
        <v>65</v>
      </c>
      <c r="L498" t="s">
        <v>10</v>
      </c>
      <c r="M498" t="s">
        <v>130</v>
      </c>
      <c r="N498" t="s">
        <v>129</v>
      </c>
      <c r="O498" t="s">
        <v>130</v>
      </c>
      <c r="P498" t="s">
        <v>130</v>
      </c>
      <c r="Q498">
        <v>0</v>
      </c>
      <c r="R498">
        <v>62858</v>
      </c>
    </row>
    <row r="499" spans="1:18" x14ac:dyDescent="0.25">
      <c r="A499">
        <v>60000498</v>
      </c>
      <c r="B499">
        <v>22</v>
      </c>
      <c r="C499" t="s">
        <v>86</v>
      </c>
      <c r="D499" t="s">
        <v>88</v>
      </c>
      <c r="E499" t="s">
        <v>100</v>
      </c>
      <c r="F499" t="s">
        <v>102</v>
      </c>
      <c r="G499">
        <v>33</v>
      </c>
      <c r="H499" t="s">
        <v>111</v>
      </c>
      <c r="I499" t="s">
        <v>143</v>
      </c>
      <c r="J499" t="s">
        <v>21</v>
      </c>
      <c r="K499" t="s">
        <v>13</v>
      </c>
      <c r="L499" t="s">
        <v>59</v>
      </c>
      <c r="M499" t="s">
        <v>129</v>
      </c>
      <c r="N499" t="s">
        <v>130</v>
      </c>
      <c r="O499" t="s">
        <v>130</v>
      </c>
      <c r="P499" t="s">
        <v>129</v>
      </c>
      <c r="Q499">
        <v>1</v>
      </c>
      <c r="R499">
        <v>61560</v>
      </c>
    </row>
    <row r="500" spans="1:18" x14ac:dyDescent="0.25">
      <c r="A500">
        <v>60000499</v>
      </c>
      <c r="B500">
        <v>49</v>
      </c>
      <c r="C500" t="s">
        <v>86</v>
      </c>
      <c r="D500" t="s">
        <v>87</v>
      </c>
      <c r="E500" t="s">
        <v>100</v>
      </c>
      <c r="F500" t="s">
        <v>102</v>
      </c>
      <c r="G500">
        <v>18</v>
      </c>
      <c r="H500" t="s">
        <v>132</v>
      </c>
      <c r="I500" t="s">
        <v>145</v>
      </c>
      <c r="J500" t="s">
        <v>23</v>
      </c>
      <c r="K500" t="s">
        <v>43</v>
      </c>
      <c r="L500" t="s">
        <v>128</v>
      </c>
      <c r="M500" t="s">
        <v>129</v>
      </c>
      <c r="N500" t="s">
        <v>130</v>
      </c>
      <c r="O500" t="s">
        <v>130</v>
      </c>
      <c r="P500" t="s">
        <v>130</v>
      </c>
      <c r="Q500">
        <v>0</v>
      </c>
      <c r="R500">
        <v>79005</v>
      </c>
    </row>
    <row r="501" spans="1:18" x14ac:dyDescent="0.25">
      <c r="A501">
        <v>60000500</v>
      </c>
      <c r="B501">
        <v>42</v>
      </c>
      <c r="C501" t="s">
        <v>86</v>
      </c>
      <c r="D501" t="s">
        <v>88</v>
      </c>
      <c r="E501" t="s">
        <v>100</v>
      </c>
      <c r="F501" t="s">
        <v>103</v>
      </c>
      <c r="G501">
        <v>28</v>
      </c>
      <c r="H501" t="s">
        <v>110</v>
      </c>
      <c r="I501" t="s">
        <v>145</v>
      </c>
      <c r="J501" t="s">
        <v>25</v>
      </c>
      <c r="K501" t="s">
        <v>33</v>
      </c>
      <c r="L501" t="s">
        <v>59</v>
      </c>
      <c r="M501" t="s">
        <v>129</v>
      </c>
      <c r="N501" t="s">
        <v>130</v>
      </c>
      <c r="O501" t="s">
        <v>130</v>
      </c>
      <c r="P501" t="s">
        <v>130</v>
      </c>
      <c r="Q501">
        <v>0</v>
      </c>
      <c r="R501">
        <v>28323</v>
      </c>
    </row>
    <row r="502" spans="1:18" x14ac:dyDescent="0.25">
      <c r="A502">
        <v>60000501</v>
      </c>
      <c r="B502">
        <v>37</v>
      </c>
      <c r="C502" t="s">
        <v>86</v>
      </c>
      <c r="D502" t="s">
        <v>87</v>
      </c>
      <c r="E502" t="s">
        <v>99</v>
      </c>
      <c r="F502" t="s">
        <v>104</v>
      </c>
      <c r="G502">
        <v>18</v>
      </c>
      <c r="H502" t="s">
        <v>132</v>
      </c>
      <c r="I502" t="s">
        <v>150</v>
      </c>
      <c r="J502" t="s">
        <v>53</v>
      </c>
      <c r="K502" t="s">
        <v>24</v>
      </c>
      <c r="L502" t="s">
        <v>128</v>
      </c>
      <c r="M502" t="s">
        <v>130</v>
      </c>
      <c r="N502" t="s">
        <v>130</v>
      </c>
      <c r="O502" t="s">
        <v>129</v>
      </c>
      <c r="P502" t="s">
        <v>129</v>
      </c>
      <c r="Q502">
        <v>4</v>
      </c>
      <c r="R502">
        <v>52056</v>
      </c>
    </row>
    <row r="503" spans="1:18" x14ac:dyDescent="0.25">
      <c r="A503">
        <v>60000502</v>
      </c>
      <c r="B503">
        <v>62</v>
      </c>
      <c r="C503" t="s">
        <v>85</v>
      </c>
      <c r="D503" t="s">
        <v>88</v>
      </c>
      <c r="E503" t="s">
        <v>99</v>
      </c>
      <c r="F503" t="s">
        <v>103</v>
      </c>
      <c r="G503">
        <v>31</v>
      </c>
      <c r="H503" t="s">
        <v>110</v>
      </c>
      <c r="I503" t="s">
        <v>149</v>
      </c>
      <c r="J503" t="s">
        <v>12</v>
      </c>
      <c r="K503" t="s">
        <v>15</v>
      </c>
      <c r="L503" t="s">
        <v>59</v>
      </c>
      <c r="M503" t="s">
        <v>129</v>
      </c>
      <c r="N503" t="s">
        <v>130</v>
      </c>
      <c r="O503" t="s">
        <v>130</v>
      </c>
      <c r="P503" t="s">
        <v>130</v>
      </c>
      <c r="Q503">
        <v>0</v>
      </c>
      <c r="R503">
        <v>39339</v>
      </c>
    </row>
    <row r="504" spans="1:18" x14ac:dyDescent="0.25">
      <c r="A504">
        <v>60000503</v>
      </c>
      <c r="B504">
        <v>24</v>
      </c>
      <c r="C504" t="s">
        <v>86</v>
      </c>
      <c r="D504" t="s">
        <v>88</v>
      </c>
      <c r="E504" t="s">
        <v>96</v>
      </c>
      <c r="F504" t="s">
        <v>103</v>
      </c>
      <c r="G504">
        <v>27</v>
      </c>
      <c r="H504" t="s">
        <v>110</v>
      </c>
      <c r="I504" t="s">
        <v>147</v>
      </c>
      <c r="J504" t="s">
        <v>53</v>
      </c>
      <c r="K504" t="s">
        <v>20</v>
      </c>
      <c r="L504" t="s">
        <v>59</v>
      </c>
      <c r="M504" t="s">
        <v>129</v>
      </c>
      <c r="N504" t="s">
        <v>130</v>
      </c>
      <c r="O504" t="s">
        <v>129</v>
      </c>
      <c r="P504" t="s">
        <v>130</v>
      </c>
      <c r="Q504">
        <v>0</v>
      </c>
      <c r="R504">
        <v>41199</v>
      </c>
    </row>
    <row r="505" spans="1:18" x14ac:dyDescent="0.25">
      <c r="A505">
        <v>60000504</v>
      </c>
      <c r="B505">
        <v>24</v>
      </c>
      <c r="C505" t="s">
        <v>86</v>
      </c>
      <c r="D505" t="s">
        <v>88</v>
      </c>
      <c r="E505" t="s">
        <v>94</v>
      </c>
      <c r="F505" t="s">
        <v>104</v>
      </c>
      <c r="G505">
        <v>17</v>
      </c>
      <c r="H505" t="s">
        <v>132</v>
      </c>
      <c r="I505" t="s">
        <v>148</v>
      </c>
      <c r="J505" t="s">
        <v>18</v>
      </c>
      <c r="K505" t="s">
        <v>69</v>
      </c>
      <c r="L505" t="s">
        <v>10</v>
      </c>
      <c r="M505" t="s">
        <v>129</v>
      </c>
      <c r="N505" t="s">
        <v>130</v>
      </c>
      <c r="O505" t="s">
        <v>129</v>
      </c>
      <c r="P505" t="s">
        <v>130</v>
      </c>
      <c r="Q505">
        <v>0</v>
      </c>
      <c r="R505">
        <v>49602</v>
      </c>
    </row>
    <row r="506" spans="1:18" x14ac:dyDescent="0.25">
      <c r="A506">
        <v>60000505</v>
      </c>
      <c r="B506">
        <v>52</v>
      </c>
      <c r="C506" t="s">
        <v>85</v>
      </c>
      <c r="D506" t="s">
        <v>88</v>
      </c>
      <c r="E506" t="s">
        <v>97</v>
      </c>
      <c r="F506" t="s">
        <v>103</v>
      </c>
      <c r="G506">
        <v>20</v>
      </c>
      <c r="H506" t="s">
        <v>109</v>
      </c>
      <c r="I506" t="s">
        <v>50</v>
      </c>
      <c r="J506" t="s">
        <v>25</v>
      </c>
      <c r="K506" t="s">
        <v>34</v>
      </c>
      <c r="L506" t="s">
        <v>10</v>
      </c>
      <c r="M506" t="s">
        <v>129</v>
      </c>
      <c r="N506" t="s">
        <v>130</v>
      </c>
      <c r="O506" t="s">
        <v>129</v>
      </c>
      <c r="P506" t="s">
        <v>130</v>
      </c>
      <c r="Q506">
        <v>0</v>
      </c>
      <c r="R506">
        <v>36760</v>
      </c>
    </row>
    <row r="507" spans="1:18" x14ac:dyDescent="0.25">
      <c r="A507">
        <v>60000506</v>
      </c>
      <c r="B507">
        <v>54</v>
      </c>
      <c r="C507" t="s">
        <v>85</v>
      </c>
      <c r="D507" t="s">
        <v>87</v>
      </c>
      <c r="E507" t="s">
        <v>93</v>
      </c>
      <c r="F507" t="s">
        <v>103</v>
      </c>
      <c r="G507">
        <v>34</v>
      </c>
      <c r="H507" t="s">
        <v>111</v>
      </c>
      <c r="I507" t="s">
        <v>143</v>
      </c>
      <c r="J507" t="s">
        <v>9</v>
      </c>
      <c r="K507" t="s">
        <v>20</v>
      </c>
      <c r="L507" t="s">
        <v>59</v>
      </c>
      <c r="M507" t="s">
        <v>129</v>
      </c>
      <c r="N507" t="s">
        <v>129</v>
      </c>
      <c r="O507" t="s">
        <v>130</v>
      </c>
      <c r="P507" t="s">
        <v>130</v>
      </c>
      <c r="Q507">
        <v>0</v>
      </c>
      <c r="R507">
        <v>79375</v>
      </c>
    </row>
    <row r="508" spans="1:18" x14ac:dyDescent="0.25">
      <c r="A508">
        <v>60000507</v>
      </c>
      <c r="B508">
        <v>23</v>
      </c>
      <c r="C508" t="s">
        <v>85</v>
      </c>
      <c r="D508" t="s">
        <v>87</v>
      </c>
      <c r="E508" t="s">
        <v>98</v>
      </c>
      <c r="F508" t="s">
        <v>103</v>
      </c>
      <c r="G508">
        <v>28</v>
      </c>
      <c r="H508" t="s">
        <v>110</v>
      </c>
      <c r="I508" t="s">
        <v>148</v>
      </c>
      <c r="J508" t="s">
        <v>62</v>
      </c>
      <c r="K508" t="s">
        <v>15</v>
      </c>
      <c r="L508" t="s">
        <v>128</v>
      </c>
      <c r="M508" t="s">
        <v>130</v>
      </c>
      <c r="N508" t="s">
        <v>129</v>
      </c>
      <c r="O508" t="s">
        <v>129</v>
      </c>
      <c r="P508" t="s">
        <v>129</v>
      </c>
      <c r="Q508">
        <v>7</v>
      </c>
      <c r="R508">
        <v>77696</v>
      </c>
    </row>
    <row r="509" spans="1:18" x14ac:dyDescent="0.25">
      <c r="A509">
        <v>60000508</v>
      </c>
      <c r="B509">
        <v>37</v>
      </c>
      <c r="C509" t="s">
        <v>86</v>
      </c>
      <c r="D509" t="s">
        <v>87</v>
      </c>
      <c r="E509" t="s">
        <v>5</v>
      </c>
      <c r="F509" t="s">
        <v>104</v>
      </c>
      <c r="G509">
        <v>35</v>
      </c>
      <c r="H509" t="s">
        <v>111</v>
      </c>
      <c r="I509" t="s">
        <v>141</v>
      </c>
      <c r="J509" t="s">
        <v>21</v>
      </c>
      <c r="K509" t="s">
        <v>46</v>
      </c>
      <c r="L509" t="s">
        <v>128</v>
      </c>
      <c r="M509" t="s">
        <v>129</v>
      </c>
      <c r="N509" t="s">
        <v>129</v>
      </c>
      <c r="O509" t="s">
        <v>130</v>
      </c>
      <c r="P509" t="s">
        <v>130</v>
      </c>
      <c r="Q509">
        <v>0</v>
      </c>
      <c r="R509">
        <v>81384</v>
      </c>
    </row>
    <row r="510" spans="1:18" x14ac:dyDescent="0.25">
      <c r="A510">
        <v>60000509</v>
      </c>
      <c r="B510">
        <v>22</v>
      </c>
      <c r="C510" t="s">
        <v>85</v>
      </c>
      <c r="D510" t="s">
        <v>87</v>
      </c>
      <c r="E510" t="s">
        <v>94</v>
      </c>
      <c r="F510" t="s">
        <v>104</v>
      </c>
      <c r="G510">
        <v>36</v>
      </c>
      <c r="H510" t="s">
        <v>111</v>
      </c>
      <c r="I510" t="s">
        <v>140</v>
      </c>
      <c r="J510" t="s">
        <v>25</v>
      </c>
      <c r="K510" t="s">
        <v>20</v>
      </c>
      <c r="L510" t="s">
        <v>10</v>
      </c>
      <c r="M510" t="s">
        <v>129</v>
      </c>
      <c r="N510" t="s">
        <v>129</v>
      </c>
      <c r="O510" t="s">
        <v>129</v>
      </c>
      <c r="P510" t="s">
        <v>129</v>
      </c>
      <c r="Q510">
        <v>0</v>
      </c>
      <c r="R510">
        <v>64585</v>
      </c>
    </row>
    <row r="511" spans="1:18" x14ac:dyDescent="0.25">
      <c r="A511">
        <v>60000510</v>
      </c>
      <c r="B511">
        <v>22</v>
      </c>
      <c r="C511" t="s">
        <v>86</v>
      </c>
      <c r="D511" t="s">
        <v>87</v>
      </c>
      <c r="E511" t="s">
        <v>92</v>
      </c>
      <c r="F511" t="s">
        <v>103</v>
      </c>
      <c r="G511">
        <v>38</v>
      </c>
      <c r="H511" t="s">
        <v>111</v>
      </c>
      <c r="I511" t="s">
        <v>144</v>
      </c>
      <c r="J511" t="s">
        <v>12</v>
      </c>
      <c r="K511" t="s">
        <v>30</v>
      </c>
      <c r="L511" t="s">
        <v>59</v>
      </c>
      <c r="M511" t="s">
        <v>130</v>
      </c>
      <c r="N511" t="s">
        <v>130</v>
      </c>
      <c r="O511" t="s">
        <v>129</v>
      </c>
      <c r="P511" t="s">
        <v>129</v>
      </c>
      <c r="Q511">
        <v>6</v>
      </c>
      <c r="R511">
        <v>26416</v>
      </c>
    </row>
    <row r="512" spans="1:18" x14ac:dyDescent="0.25">
      <c r="A512">
        <v>60000511</v>
      </c>
      <c r="B512">
        <v>29</v>
      </c>
      <c r="C512" t="s">
        <v>86</v>
      </c>
      <c r="D512" t="s">
        <v>88</v>
      </c>
      <c r="E512" t="s">
        <v>95</v>
      </c>
      <c r="F512" t="s">
        <v>104</v>
      </c>
      <c r="G512">
        <v>27</v>
      </c>
      <c r="H512" t="s">
        <v>110</v>
      </c>
      <c r="I512" t="s">
        <v>144</v>
      </c>
      <c r="J512" t="s">
        <v>62</v>
      </c>
      <c r="K512" t="s">
        <v>57</v>
      </c>
      <c r="L512" t="s">
        <v>59</v>
      </c>
      <c r="M512" t="s">
        <v>130</v>
      </c>
      <c r="N512" t="s">
        <v>129</v>
      </c>
      <c r="O512" t="s">
        <v>129</v>
      </c>
      <c r="P512" t="s">
        <v>129</v>
      </c>
      <c r="Q512">
        <v>2</v>
      </c>
      <c r="R512">
        <v>64046</v>
      </c>
    </row>
    <row r="513" spans="1:18" x14ac:dyDescent="0.25">
      <c r="A513">
        <v>60000512</v>
      </c>
      <c r="B513">
        <v>38</v>
      </c>
      <c r="C513" t="s">
        <v>85</v>
      </c>
      <c r="D513" t="s">
        <v>88</v>
      </c>
      <c r="E513" t="s">
        <v>96</v>
      </c>
      <c r="F513" t="s">
        <v>103</v>
      </c>
      <c r="G513">
        <v>35</v>
      </c>
      <c r="H513" t="s">
        <v>111</v>
      </c>
      <c r="I513" t="s">
        <v>140</v>
      </c>
      <c r="J513" t="s">
        <v>25</v>
      </c>
      <c r="K513" t="s">
        <v>65</v>
      </c>
      <c r="L513" t="s">
        <v>128</v>
      </c>
      <c r="M513" t="s">
        <v>130</v>
      </c>
      <c r="N513" t="s">
        <v>130</v>
      </c>
      <c r="O513" t="s">
        <v>129</v>
      </c>
      <c r="P513" t="s">
        <v>129</v>
      </c>
      <c r="Q513">
        <v>7</v>
      </c>
      <c r="R513">
        <v>24939</v>
      </c>
    </row>
    <row r="514" spans="1:18" x14ac:dyDescent="0.25">
      <c r="A514">
        <v>60000513</v>
      </c>
      <c r="B514">
        <v>64</v>
      </c>
      <c r="C514" t="s">
        <v>85</v>
      </c>
      <c r="D514" t="s">
        <v>87</v>
      </c>
      <c r="E514" t="s">
        <v>95</v>
      </c>
      <c r="F514" t="s">
        <v>103</v>
      </c>
      <c r="G514">
        <v>35</v>
      </c>
      <c r="H514" t="s">
        <v>111</v>
      </c>
      <c r="I514" t="s">
        <v>55</v>
      </c>
      <c r="J514" t="s">
        <v>53</v>
      </c>
      <c r="K514" t="s">
        <v>49</v>
      </c>
      <c r="L514" t="s">
        <v>10</v>
      </c>
      <c r="M514" t="s">
        <v>129</v>
      </c>
      <c r="N514" t="s">
        <v>129</v>
      </c>
      <c r="O514" t="s">
        <v>129</v>
      </c>
      <c r="P514" t="s">
        <v>130</v>
      </c>
      <c r="Q514">
        <v>0</v>
      </c>
      <c r="R514">
        <v>79838</v>
      </c>
    </row>
    <row r="515" spans="1:18" x14ac:dyDescent="0.25">
      <c r="A515">
        <v>60000514</v>
      </c>
      <c r="B515">
        <v>59</v>
      </c>
      <c r="C515" t="s">
        <v>85</v>
      </c>
      <c r="D515" t="s">
        <v>88</v>
      </c>
      <c r="E515" t="s">
        <v>99</v>
      </c>
      <c r="F515" t="s">
        <v>102</v>
      </c>
      <c r="G515">
        <v>19</v>
      </c>
      <c r="H515" t="s">
        <v>109</v>
      </c>
      <c r="I515" t="s">
        <v>50</v>
      </c>
      <c r="J515" t="s">
        <v>53</v>
      </c>
      <c r="K515" t="s">
        <v>19</v>
      </c>
      <c r="L515" t="s">
        <v>10</v>
      </c>
      <c r="M515" t="s">
        <v>130</v>
      </c>
      <c r="N515" t="s">
        <v>129</v>
      </c>
      <c r="O515" t="s">
        <v>130</v>
      </c>
      <c r="P515" t="s">
        <v>129</v>
      </c>
      <c r="Q515">
        <v>7</v>
      </c>
      <c r="R515">
        <v>28883</v>
      </c>
    </row>
    <row r="516" spans="1:18" x14ac:dyDescent="0.25">
      <c r="A516">
        <v>60000515</v>
      </c>
      <c r="B516">
        <v>58</v>
      </c>
      <c r="C516" t="s">
        <v>85</v>
      </c>
      <c r="D516" t="s">
        <v>88</v>
      </c>
      <c r="E516" t="s">
        <v>99</v>
      </c>
      <c r="F516" t="s">
        <v>103</v>
      </c>
      <c r="G516">
        <v>25</v>
      </c>
      <c r="H516" t="s">
        <v>110</v>
      </c>
      <c r="I516" t="s">
        <v>147</v>
      </c>
      <c r="J516" t="s">
        <v>16</v>
      </c>
      <c r="K516" t="s">
        <v>46</v>
      </c>
      <c r="L516" t="s">
        <v>59</v>
      </c>
      <c r="M516" t="s">
        <v>130</v>
      </c>
      <c r="N516" t="s">
        <v>129</v>
      </c>
      <c r="O516" t="s">
        <v>129</v>
      </c>
      <c r="P516" t="s">
        <v>129</v>
      </c>
      <c r="Q516">
        <v>0</v>
      </c>
      <c r="R516">
        <v>82172</v>
      </c>
    </row>
    <row r="517" spans="1:18" x14ac:dyDescent="0.25">
      <c r="A517">
        <v>60000516</v>
      </c>
      <c r="B517">
        <v>22</v>
      </c>
      <c r="C517" t="s">
        <v>85</v>
      </c>
      <c r="D517" t="s">
        <v>87</v>
      </c>
      <c r="E517" t="s">
        <v>92</v>
      </c>
      <c r="F517" t="s">
        <v>102</v>
      </c>
      <c r="G517">
        <v>18</v>
      </c>
      <c r="H517" t="s">
        <v>132</v>
      </c>
      <c r="I517" t="s">
        <v>29</v>
      </c>
      <c r="J517" t="s">
        <v>32</v>
      </c>
      <c r="K517" t="s">
        <v>27</v>
      </c>
      <c r="L517" t="s">
        <v>59</v>
      </c>
      <c r="M517" t="s">
        <v>130</v>
      </c>
      <c r="N517" t="s">
        <v>129</v>
      </c>
      <c r="O517" t="s">
        <v>129</v>
      </c>
      <c r="P517" t="s">
        <v>130</v>
      </c>
      <c r="Q517">
        <v>0</v>
      </c>
      <c r="R517">
        <v>49849</v>
      </c>
    </row>
    <row r="518" spans="1:18" x14ac:dyDescent="0.25">
      <c r="A518">
        <v>60000517</v>
      </c>
      <c r="B518">
        <v>22</v>
      </c>
      <c r="C518" t="s">
        <v>85</v>
      </c>
      <c r="D518" t="s">
        <v>88</v>
      </c>
      <c r="E518" t="s">
        <v>91</v>
      </c>
      <c r="F518" t="s">
        <v>104</v>
      </c>
      <c r="G518">
        <v>16</v>
      </c>
      <c r="H518" t="s">
        <v>132</v>
      </c>
      <c r="I518" t="s">
        <v>55</v>
      </c>
      <c r="J518" t="s">
        <v>12</v>
      </c>
      <c r="K518" t="s">
        <v>13</v>
      </c>
      <c r="L518" t="s">
        <v>59</v>
      </c>
      <c r="M518" t="s">
        <v>129</v>
      </c>
      <c r="N518" t="s">
        <v>130</v>
      </c>
      <c r="O518" t="s">
        <v>130</v>
      </c>
      <c r="P518" t="s">
        <v>130</v>
      </c>
      <c r="Q518">
        <v>0</v>
      </c>
      <c r="R518">
        <v>55350</v>
      </c>
    </row>
    <row r="519" spans="1:18" x14ac:dyDescent="0.25">
      <c r="A519">
        <v>60000518</v>
      </c>
      <c r="B519">
        <v>45</v>
      </c>
      <c r="C519" t="s">
        <v>85</v>
      </c>
      <c r="D519" t="s">
        <v>87</v>
      </c>
      <c r="E519" t="s">
        <v>93</v>
      </c>
      <c r="F519" t="s">
        <v>102</v>
      </c>
      <c r="G519">
        <v>28</v>
      </c>
      <c r="H519" t="s">
        <v>110</v>
      </c>
      <c r="I519" t="s">
        <v>147</v>
      </c>
      <c r="J519" t="s">
        <v>18</v>
      </c>
      <c r="K519" t="s">
        <v>48</v>
      </c>
      <c r="L519" t="s">
        <v>128</v>
      </c>
      <c r="M519" t="s">
        <v>130</v>
      </c>
      <c r="N519" t="s">
        <v>129</v>
      </c>
      <c r="O519" t="s">
        <v>129</v>
      </c>
      <c r="P519" t="s">
        <v>129</v>
      </c>
      <c r="Q519">
        <v>3</v>
      </c>
      <c r="R519">
        <v>78750</v>
      </c>
    </row>
    <row r="520" spans="1:18" x14ac:dyDescent="0.25">
      <c r="A520">
        <v>60000519</v>
      </c>
      <c r="B520">
        <v>26</v>
      </c>
      <c r="C520" t="s">
        <v>86</v>
      </c>
      <c r="D520" t="s">
        <v>87</v>
      </c>
      <c r="E520" t="s">
        <v>96</v>
      </c>
      <c r="F520" t="s">
        <v>102</v>
      </c>
      <c r="G520">
        <v>17</v>
      </c>
      <c r="H520" t="s">
        <v>132</v>
      </c>
      <c r="I520" t="s">
        <v>145</v>
      </c>
      <c r="J520" t="s">
        <v>62</v>
      </c>
      <c r="K520" t="s">
        <v>30</v>
      </c>
      <c r="L520" t="s">
        <v>59</v>
      </c>
      <c r="M520" t="s">
        <v>129</v>
      </c>
      <c r="N520" t="s">
        <v>130</v>
      </c>
      <c r="O520" t="s">
        <v>129</v>
      </c>
      <c r="P520" t="s">
        <v>129</v>
      </c>
      <c r="Q520">
        <v>3</v>
      </c>
      <c r="R520">
        <v>76139</v>
      </c>
    </row>
    <row r="521" spans="1:18" x14ac:dyDescent="0.25">
      <c r="A521">
        <v>60000520</v>
      </c>
      <c r="B521">
        <v>54</v>
      </c>
      <c r="C521" t="s">
        <v>86</v>
      </c>
      <c r="D521" t="s">
        <v>87</v>
      </c>
      <c r="E521" t="s">
        <v>96</v>
      </c>
      <c r="F521" t="s">
        <v>104</v>
      </c>
      <c r="G521">
        <v>32</v>
      </c>
      <c r="H521" t="s">
        <v>111</v>
      </c>
      <c r="I521" t="s">
        <v>146</v>
      </c>
      <c r="J521" t="s">
        <v>53</v>
      </c>
      <c r="K521" t="s">
        <v>48</v>
      </c>
      <c r="L521" t="s">
        <v>10</v>
      </c>
      <c r="M521" t="s">
        <v>130</v>
      </c>
      <c r="N521" t="s">
        <v>130</v>
      </c>
      <c r="O521" t="s">
        <v>130</v>
      </c>
      <c r="P521" t="s">
        <v>129</v>
      </c>
      <c r="Q521">
        <v>7</v>
      </c>
      <c r="R521">
        <v>44697</v>
      </c>
    </row>
    <row r="522" spans="1:18" x14ac:dyDescent="0.25">
      <c r="A522">
        <v>60000521</v>
      </c>
      <c r="B522">
        <v>32</v>
      </c>
      <c r="C522" t="s">
        <v>86</v>
      </c>
      <c r="D522" t="s">
        <v>87</v>
      </c>
      <c r="E522" t="s">
        <v>90</v>
      </c>
      <c r="F522" t="s">
        <v>102</v>
      </c>
      <c r="G522">
        <v>32</v>
      </c>
      <c r="H522" t="s">
        <v>111</v>
      </c>
      <c r="I522" t="s">
        <v>150</v>
      </c>
      <c r="J522" t="s">
        <v>21</v>
      </c>
      <c r="K522" t="s">
        <v>61</v>
      </c>
      <c r="L522" t="s">
        <v>10</v>
      </c>
      <c r="M522" t="s">
        <v>130</v>
      </c>
      <c r="N522" t="s">
        <v>130</v>
      </c>
      <c r="O522" t="s">
        <v>129</v>
      </c>
      <c r="P522" t="s">
        <v>129</v>
      </c>
      <c r="Q522">
        <v>3</v>
      </c>
      <c r="R522">
        <v>29148</v>
      </c>
    </row>
    <row r="523" spans="1:18" x14ac:dyDescent="0.25">
      <c r="A523">
        <v>60000522</v>
      </c>
      <c r="B523">
        <v>26</v>
      </c>
      <c r="C523" t="s">
        <v>86</v>
      </c>
      <c r="D523" t="s">
        <v>88</v>
      </c>
      <c r="E523" t="s">
        <v>91</v>
      </c>
      <c r="F523" t="s">
        <v>103</v>
      </c>
      <c r="G523">
        <v>30</v>
      </c>
      <c r="H523" t="s">
        <v>110</v>
      </c>
      <c r="I523" t="s">
        <v>149</v>
      </c>
      <c r="J523" t="s">
        <v>62</v>
      </c>
      <c r="K523" t="s">
        <v>64</v>
      </c>
      <c r="L523" t="s">
        <v>59</v>
      </c>
      <c r="M523" t="s">
        <v>130</v>
      </c>
      <c r="N523" t="s">
        <v>129</v>
      </c>
      <c r="O523" t="s">
        <v>130</v>
      </c>
      <c r="P523" t="s">
        <v>129</v>
      </c>
      <c r="Q523">
        <v>7</v>
      </c>
      <c r="R523">
        <v>46375</v>
      </c>
    </row>
    <row r="524" spans="1:18" x14ac:dyDescent="0.25">
      <c r="A524">
        <v>60000523</v>
      </c>
      <c r="B524">
        <v>32</v>
      </c>
      <c r="C524" t="s">
        <v>85</v>
      </c>
      <c r="D524" t="s">
        <v>88</v>
      </c>
      <c r="E524" t="s">
        <v>97</v>
      </c>
      <c r="F524" t="s">
        <v>102</v>
      </c>
      <c r="G524">
        <v>10</v>
      </c>
      <c r="H524" t="s">
        <v>108</v>
      </c>
      <c r="I524" t="s">
        <v>29</v>
      </c>
      <c r="J524" t="s">
        <v>21</v>
      </c>
      <c r="K524" t="s">
        <v>57</v>
      </c>
      <c r="L524" t="s">
        <v>10</v>
      </c>
      <c r="M524" t="s">
        <v>129</v>
      </c>
      <c r="N524" t="s">
        <v>130</v>
      </c>
      <c r="O524" t="s">
        <v>129</v>
      </c>
      <c r="P524" t="s">
        <v>129</v>
      </c>
      <c r="Q524">
        <v>6</v>
      </c>
      <c r="R524">
        <v>46883</v>
      </c>
    </row>
    <row r="525" spans="1:18" x14ac:dyDescent="0.25">
      <c r="A525">
        <v>60000524</v>
      </c>
      <c r="B525">
        <v>47</v>
      </c>
      <c r="C525" t="s">
        <v>86</v>
      </c>
      <c r="D525" t="s">
        <v>87</v>
      </c>
      <c r="E525" t="s">
        <v>96</v>
      </c>
      <c r="F525" t="s">
        <v>103</v>
      </c>
      <c r="G525">
        <v>22</v>
      </c>
      <c r="H525" t="s">
        <v>109</v>
      </c>
      <c r="I525" t="s">
        <v>148</v>
      </c>
      <c r="J525" t="s">
        <v>14</v>
      </c>
      <c r="K525" t="s">
        <v>74</v>
      </c>
      <c r="L525" t="s">
        <v>128</v>
      </c>
      <c r="M525" t="s">
        <v>130</v>
      </c>
      <c r="N525" t="s">
        <v>130</v>
      </c>
      <c r="O525" t="s">
        <v>129</v>
      </c>
      <c r="P525" t="s">
        <v>130</v>
      </c>
      <c r="Q525">
        <v>0</v>
      </c>
      <c r="R525">
        <v>35596</v>
      </c>
    </row>
    <row r="526" spans="1:18" x14ac:dyDescent="0.25">
      <c r="A526">
        <v>60000525</v>
      </c>
      <c r="B526">
        <v>28</v>
      </c>
      <c r="C526" t="s">
        <v>86</v>
      </c>
      <c r="D526" t="s">
        <v>88</v>
      </c>
      <c r="E526" t="s">
        <v>93</v>
      </c>
      <c r="F526" t="s">
        <v>103</v>
      </c>
      <c r="G526">
        <v>37</v>
      </c>
      <c r="H526" t="s">
        <v>111</v>
      </c>
      <c r="I526" t="s">
        <v>146</v>
      </c>
      <c r="J526" t="s">
        <v>21</v>
      </c>
      <c r="K526" t="s">
        <v>46</v>
      </c>
      <c r="L526" t="s">
        <v>10</v>
      </c>
      <c r="M526" t="s">
        <v>130</v>
      </c>
      <c r="N526" t="s">
        <v>130</v>
      </c>
      <c r="O526" t="s">
        <v>129</v>
      </c>
      <c r="P526" t="s">
        <v>129</v>
      </c>
      <c r="Q526">
        <v>4</v>
      </c>
      <c r="R526">
        <v>47797</v>
      </c>
    </row>
    <row r="527" spans="1:18" x14ac:dyDescent="0.25">
      <c r="A527">
        <v>60000526</v>
      </c>
      <c r="B527">
        <v>49</v>
      </c>
      <c r="C527" t="s">
        <v>85</v>
      </c>
      <c r="D527" t="s">
        <v>88</v>
      </c>
      <c r="E527" t="s">
        <v>93</v>
      </c>
      <c r="F527" t="s">
        <v>103</v>
      </c>
      <c r="G527">
        <v>13</v>
      </c>
      <c r="H527" t="s">
        <v>132</v>
      </c>
      <c r="I527" t="s">
        <v>149</v>
      </c>
      <c r="J527" t="s">
        <v>25</v>
      </c>
      <c r="K527" t="s">
        <v>42</v>
      </c>
      <c r="L527" t="s">
        <v>59</v>
      </c>
      <c r="M527" t="s">
        <v>130</v>
      </c>
      <c r="N527" t="s">
        <v>129</v>
      </c>
      <c r="O527" t="s">
        <v>130</v>
      </c>
      <c r="P527" t="s">
        <v>129</v>
      </c>
      <c r="Q527">
        <v>7</v>
      </c>
      <c r="R527">
        <v>84205</v>
      </c>
    </row>
    <row r="528" spans="1:18" x14ac:dyDescent="0.25">
      <c r="A528">
        <v>60000527</v>
      </c>
      <c r="B528">
        <v>27</v>
      </c>
      <c r="C528" t="s">
        <v>86</v>
      </c>
      <c r="D528" t="s">
        <v>88</v>
      </c>
      <c r="E528" t="s">
        <v>95</v>
      </c>
      <c r="F528" t="s">
        <v>103</v>
      </c>
      <c r="G528">
        <v>31</v>
      </c>
      <c r="H528" t="s">
        <v>110</v>
      </c>
      <c r="I528" t="s">
        <v>144</v>
      </c>
      <c r="J528" t="s">
        <v>9</v>
      </c>
      <c r="K528" t="s">
        <v>67</v>
      </c>
      <c r="L528" t="s">
        <v>128</v>
      </c>
      <c r="M528" t="s">
        <v>130</v>
      </c>
      <c r="N528" t="s">
        <v>129</v>
      </c>
      <c r="O528" t="s">
        <v>129</v>
      </c>
      <c r="P528" t="s">
        <v>130</v>
      </c>
      <c r="Q528">
        <v>0</v>
      </c>
      <c r="R528">
        <v>40117</v>
      </c>
    </row>
    <row r="529" spans="1:18" x14ac:dyDescent="0.25">
      <c r="A529">
        <v>60000528</v>
      </c>
      <c r="B529">
        <v>55</v>
      </c>
      <c r="C529" t="s">
        <v>85</v>
      </c>
      <c r="D529" t="s">
        <v>87</v>
      </c>
      <c r="E529" t="s">
        <v>98</v>
      </c>
      <c r="F529" t="s">
        <v>103</v>
      </c>
      <c r="G529">
        <v>24</v>
      </c>
      <c r="H529" t="s">
        <v>109</v>
      </c>
      <c r="I529" t="s">
        <v>149</v>
      </c>
      <c r="J529" t="s">
        <v>25</v>
      </c>
      <c r="K529" t="s">
        <v>54</v>
      </c>
      <c r="L529" t="s">
        <v>59</v>
      </c>
      <c r="M529" t="s">
        <v>129</v>
      </c>
      <c r="N529" t="s">
        <v>130</v>
      </c>
      <c r="O529" t="s">
        <v>130</v>
      </c>
      <c r="P529" t="s">
        <v>130</v>
      </c>
      <c r="Q529">
        <v>0</v>
      </c>
      <c r="R529">
        <v>41802</v>
      </c>
    </row>
    <row r="530" spans="1:18" x14ac:dyDescent="0.25">
      <c r="A530">
        <v>60000529</v>
      </c>
      <c r="B530">
        <v>27</v>
      </c>
      <c r="C530" t="s">
        <v>85</v>
      </c>
      <c r="D530" t="s">
        <v>87</v>
      </c>
      <c r="E530" t="s">
        <v>99</v>
      </c>
      <c r="F530" t="s">
        <v>103</v>
      </c>
      <c r="G530">
        <v>34</v>
      </c>
      <c r="H530" t="s">
        <v>111</v>
      </c>
      <c r="I530" t="s">
        <v>147</v>
      </c>
      <c r="J530" t="s">
        <v>9</v>
      </c>
      <c r="K530" t="s">
        <v>44</v>
      </c>
      <c r="L530" t="s">
        <v>10</v>
      </c>
      <c r="M530" t="s">
        <v>130</v>
      </c>
      <c r="N530" t="s">
        <v>129</v>
      </c>
      <c r="O530" t="s">
        <v>129</v>
      </c>
      <c r="P530" t="s">
        <v>130</v>
      </c>
      <c r="Q530">
        <v>0</v>
      </c>
      <c r="R530">
        <v>69085</v>
      </c>
    </row>
    <row r="531" spans="1:18" x14ac:dyDescent="0.25">
      <c r="A531">
        <v>60000530</v>
      </c>
      <c r="B531">
        <v>27</v>
      </c>
      <c r="C531" t="s">
        <v>85</v>
      </c>
      <c r="D531" t="s">
        <v>88</v>
      </c>
      <c r="E531" t="s">
        <v>91</v>
      </c>
      <c r="F531" t="s">
        <v>103</v>
      </c>
      <c r="G531">
        <v>38</v>
      </c>
      <c r="H531" t="s">
        <v>111</v>
      </c>
      <c r="I531" t="s">
        <v>144</v>
      </c>
      <c r="J531" t="s">
        <v>14</v>
      </c>
      <c r="K531" t="s">
        <v>40</v>
      </c>
      <c r="L531" t="s">
        <v>59</v>
      </c>
      <c r="M531" t="s">
        <v>129</v>
      </c>
      <c r="N531" t="s">
        <v>129</v>
      </c>
      <c r="O531" t="s">
        <v>129</v>
      </c>
      <c r="P531" t="s">
        <v>129</v>
      </c>
      <c r="Q531">
        <v>6</v>
      </c>
      <c r="R531">
        <v>51061</v>
      </c>
    </row>
    <row r="532" spans="1:18" x14ac:dyDescent="0.25">
      <c r="A532">
        <v>60000531</v>
      </c>
      <c r="B532">
        <v>27</v>
      </c>
      <c r="C532" t="s">
        <v>85</v>
      </c>
      <c r="D532" t="s">
        <v>88</v>
      </c>
      <c r="E532" t="s">
        <v>99</v>
      </c>
      <c r="F532" t="s">
        <v>103</v>
      </c>
      <c r="G532">
        <v>14</v>
      </c>
      <c r="H532" t="s">
        <v>132</v>
      </c>
      <c r="I532" t="s">
        <v>55</v>
      </c>
      <c r="J532" t="s">
        <v>25</v>
      </c>
      <c r="K532" t="s">
        <v>38</v>
      </c>
      <c r="L532" t="s">
        <v>10</v>
      </c>
      <c r="M532" t="s">
        <v>129</v>
      </c>
      <c r="N532" t="s">
        <v>130</v>
      </c>
      <c r="O532" t="s">
        <v>130</v>
      </c>
      <c r="P532" t="s">
        <v>129</v>
      </c>
      <c r="Q532">
        <v>2</v>
      </c>
      <c r="R532">
        <v>83923</v>
      </c>
    </row>
    <row r="533" spans="1:18" x14ac:dyDescent="0.25">
      <c r="A533">
        <v>60000532</v>
      </c>
      <c r="B533">
        <v>20</v>
      </c>
      <c r="C533" t="s">
        <v>86</v>
      </c>
      <c r="D533" t="s">
        <v>87</v>
      </c>
      <c r="E533" t="s">
        <v>98</v>
      </c>
      <c r="F533" t="s">
        <v>102</v>
      </c>
      <c r="G533">
        <v>35</v>
      </c>
      <c r="H533" t="s">
        <v>111</v>
      </c>
      <c r="I533" t="s">
        <v>50</v>
      </c>
      <c r="J533" t="s">
        <v>21</v>
      </c>
      <c r="K533" t="s">
        <v>67</v>
      </c>
      <c r="L533" t="s">
        <v>59</v>
      </c>
      <c r="M533" t="s">
        <v>129</v>
      </c>
      <c r="N533" t="s">
        <v>129</v>
      </c>
      <c r="O533" t="s">
        <v>129</v>
      </c>
      <c r="P533" t="s">
        <v>130</v>
      </c>
      <c r="Q533">
        <v>0</v>
      </c>
      <c r="R533">
        <v>58922</v>
      </c>
    </row>
    <row r="534" spans="1:18" x14ac:dyDescent="0.25">
      <c r="A534">
        <v>60000533</v>
      </c>
      <c r="B534">
        <v>26</v>
      </c>
      <c r="C534" t="s">
        <v>86</v>
      </c>
      <c r="D534" t="s">
        <v>88</v>
      </c>
      <c r="E534" t="s">
        <v>93</v>
      </c>
      <c r="F534" t="s">
        <v>102</v>
      </c>
      <c r="G534">
        <v>24</v>
      </c>
      <c r="H534" t="s">
        <v>109</v>
      </c>
      <c r="I534" t="s">
        <v>143</v>
      </c>
      <c r="J534" t="s">
        <v>62</v>
      </c>
      <c r="K534" t="s">
        <v>52</v>
      </c>
      <c r="L534" t="s">
        <v>10</v>
      </c>
      <c r="M534" t="s">
        <v>130</v>
      </c>
      <c r="N534" t="s">
        <v>130</v>
      </c>
      <c r="O534" t="s">
        <v>130</v>
      </c>
      <c r="P534" t="s">
        <v>130</v>
      </c>
      <c r="Q534">
        <v>0</v>
      </c>
      <c r="R534">
        <v>51571</v>
      </c>
    </row>
    <row r="535" spans="1:18" x14ac:dyDescent="0.25">
      <c r="A535">
        <v>60000534</v>
      </c>
      <c r="B535">
        <v>51</v>
      </c>
      <c r="C535" t="s">
        <v>85</v>
      </c>
      <c r="D535" t="s">
        <v>87</v>
      </c>
      <c r="E535" t="s">
        <v>98</v>
      </c>
      <c r="F535" t="s">
        <v>103</v>
      </c>
      <c r="G535">
        <v>25</v>
      </c>
      <c r="H535" t="s">
        <v>110</v>
      </c>
      <c r="I535" t="s">
        <v>50</v>
      </c>
      <c r="J535" t="s">
        <v>53</v>
      </c>
      <c r="K535" t="s">
        <v>56</v>
      </c>
      <c r="L535" t="s">
        <v>128</v>
      </c>
      <c r="M535" t="s">
        <v>130</v>
      </c>
      <c r="N535" t="s">
        <v>130</v>
      </c>
      <c r="O535" t="s">
        <v>129</v>
      </c>
      <c r="P535" t="s">
        <v>129</v>
      </c>
      <c r="Q535">
        <v>5</v>
      </c>
      <c r="R535">
        <v>71370</v>
      </c>
    </row>
    <row r="536" spans="1:18" x14ac:dyDescent="0.25">
      <c r="A536">
        <v>60000535</v>
      </c>
      <c r="B536">
        <v>45</v>
      </c>
      <c r="C536" t="s">
        <v>85</v>
      </c>
      <c r="D536" t="s">
        <v>87</v>
      </c>
      <c r="E536" t="s">
        <v>91</v>
      </c>
      <c r="F536" t="s">
        <v>103</v>
      </c>
      <c r="G536">
        <v>15</v>
      </c>
      <c r="H536" t="s">
        <v>132</v>
      </c>
      <c r="I536" t="s">
        <v>22</v>
      </c>
      <c r="J536" t="s">
        <v>25</v>
      </c>
      <c r="K536" t="s">
        <v>64</v>
      </c>
      <c r="L536" t="s">
        <v>59</v>
      </c>
      <c r="M536" t="s">
        <v>129</v>
      </c>
      <c r="N536" t="s">
        <v>130</v>
      </c>
      <c r="O536" t="s">
        <v>130</v>
      </c>
      <c r="P536" t="s">
        <v>130</v>
      </c>
      <c r="Q536">
        <v>0</v>
      </c>
      <c r="R536">
        <v>82397</v>
      </c>
    </row>
    <row r="537" spans="1:18" x14ac:dyDescent="0.25">
      <c r="A537">
        <v>60000536</v>
      </c>
      <c r="B537">
        <v>25</v>
      </c>
      <c r="C537" t="s">
        <v>86</v>
      </c>
      <c r="D537" t="s">
        <v>88</v>
      </c>
      <c r="E537" t="s">
        <v>92</v>
      </c>
      <c r="F537" t="s">
        <v>104</v>
      </c>
      <c r="G537">
        <v>23</v>
      </c>
      <c r="H537" t="s">
        <v>109</v>
      </c>
      <c r="I537" t="s">
        <v>50</v>
      </c>
      <c r="J537" t="s">
        <v>23</v>
      </c>
      <c r="K537" t="s">
        <v>37</v>
      </c>
      <c r="L537" t="s">
        <v>10</v>
      </c>
      <c r="M537" t="s">
        <v>129</v>
      </c>
      <c r="N537" t="s">
        <v>129</v>
      </c>
      <c r="O537" t="s">
        <v>129</v>
      </c>
      <c r="P537" t="s">
        <v>129</v>
      </c>
      <c r="Q537">
        <v>1</v>
      </c>
      <c r="R537">
        <v>27825</v>
      </c>
    </row>
    <row r="538" spans="1:18" x14ac:dyDescent="0.25">
      <c r="A538">
        <v>60000537</v>
      </c>
      <c r="B538">
        <v>29</v>
      </c>
      <c r="C538" t="s">
        <v>86</v>
      </c>
      <c r="D538" t="s">
        <v>87</v>
      </c>
      <c r="E538" t="s">
        <v>90</v>
      </c>
      <c r="F538" t="s">
        <v>102</v>
      </c>
      <c r="G538">
        <v>24</v>
      </c>
      <c r="H538" t="s">
        <v>109</v>
      </c>
      <c r="I538" t="s">
        <v>143</v>
      </c>
      <c r="J538" t="s">
        <v>53</v>
      </c>
      <c r="K538" t="s">
        <v>33</v>
      </c>
      <c r="L538" t="s">
        <v>59</v>
      </c>
      <c r="M538" t="s">
        <v>129</v>
      </c>
      <c r="N538" t="s">
        <v>129</v>
      </c>
      <c r="O538" t="s">
        <v>129</v>
      </c>
      <c r="P538" t="s">
        <v>130</v>
      </c>
      <c r="Q538">
        <v>0</v>
      </c>
      <c r="R538">
        <v>58041</v>
      </c>
    </row>
    <row r="539" spans="1:18" x14ac:dyDescent="0.25">
      <c r="A539">
        <v>60000538</v>
      </c>
      <c r="B539">
        <v>40</v>
      </c>
      <c r="C539" t="s">
        <v>86</v>
      </c>
      <c r="D539" t="s">
        <v>87</v>
      </c>
      <c r="E539" t="s">
        <v>5</v>
      </c>
      <c r="F539" t="s">
        <v>103</v>
      </c>
      <c r="G539">
        <v>12</v>
      </c>
      <c r="H539" t="s">
        <v>132</v>
      </c>
      <c r="I539" t="s">
        <v>141</v>
      </c>
      <c r="J539" t="s">
        <v>62</v>
      </c>
      <c r="K539" t="s">
        <v>19</v>
      </c>
      <c r="L539" t="s">
        <v>10</v>
      </c>
      <c r="M539" t="s">
        <v>130</v>
      </c>
      <c r="N539" t="s">
        <v>130</v>
      </c>
      <c r="O539" t="s">
        <v>129</v>
      </c>
      <c r="P539" t="s">
        <v>129</v>
      </c>
      <c r="Q539">
        <v>6</v>
      </c>
      <c r="R539">
        <v>80139</v>
      </c>
    </row>
    <row r="540" spans="1:18" x14ac:dyDescent="0.25">
      <c r="A540">
        <v>60000539</v>
      </c>
      <c r="B540">
        <v>53</v>
      </c>
      <c r="C540" t="s">
        <v>86</v>
      </c>
      <c r="D540" t="s">
        <v>88</v>
      </c>
      <c r="E540" t="s">
        <v>95</v>
      </c>
      <c r="F540" t="s">
        <v>102</v>
      </c>
      <c r="G540">
        <v>14</v>
      </c>
      <c r="H540" t="s">
        <v>132</v>
      </c>
      <c r="I540" t="s">
        <v>144</v>
      </c>
      <c r="J540" t="s">
        <v>53</v>
      </c>
      <c r="K540" t="s">
        <v>65</v>
      </c>
      <c r="L540" t="s">
        <v>128</v>
      </c>
      <c r="M540" t="s">
        <v>129</v>
      </c>
      <c r="N540" t="s">
        <v>130</v>
      </c>
      <c r="O540" t="s">
        <v>130</v>
      </c>
      <c r="P540" t="s">
        <v>129</v>
      </c>
      <c r="Q540">
        <v>2</v>
      </c>
      <c r="R540">
        <v>70328</v>
      </c>
    </row>
    <row r="541" spans="1:18" x14ac:dyDescent="0.25">
      <c r="A541">
        <v>60000540</v>
      </c>
      <c r="B541">
        <v>50</v>
      </c>
      <c r="C541" t="s">
        <v>86</v>
      </c>
      <c r="D541" t="s">
        <v>88</v>
      </c>
      <c r="E541" t="s">
        <v>98</v>
      </c>
      <c r="F541" t="s">
        <v>104</v>
      </c>
      <c r="G541">
        <v>20</v>
      </c>
      <c r="H541" t="s">
        <v>109</v>
      </c>
      <c r="I541" t="s">
        <v>141</v>
      </c>
      <c r="J541" t="s">
        <v>12</v>
      </c>
      <c r="K541" t="s">
        <v>24</v>
      </c>
      <c r="L541" t="s">
        <v>10</v>
      </c>
      <c r="M541" t="s">
        <v>130</v>
      </c>
      <c r="N541" t="s">
        <v>129</v>
      </c>
      <c r="O541" t="s">
        <v>129</v>
      </c>
      <c r="P541" t="s">
        <v>130</v>
      </c>
      <c r="Q541">
        <v>0</v>
      </c>
      <c r="R541">
        <v>39091</v>
      </c>
    </row>
    <row r="542" spans="1:18" x14ac:dyDescent="0.25">
      <c r="A542">
        <v>60000541</v>
      </c>
      <c r="B542">
        <v>21</v>
      </c>
      <c r="C542" t="s">
        <v>85</v>
      </c>
      <c r="D542" t="s">
        <v>87</v>
      </c>
      <c r="E542" t="s">
        <v>96</v>
      </c>
      <c r="F542" t="s">
        <v>103</v>
      </c>
      <c r="G542">
        <v>31</v>
      </c>
      <c r="H542" t="s">
        <v>110</v>
      </c>
      <c r="I542" t="s">
        <v>11</v>
      </c>
      <c r="J542" t="s">
        <v>62</v>
      </c>
      <c r="K542" t="s">
        <v>73</v>
      </c>
      <c r="L542" t="s">
        <v>128</v>
      </c>
      <c r="M542" t="s">
        <v>129</v>
      </c>
      <c r="N542" t="s">
        <v>129</v>
      </c>
      <c r="O542" t="s">
        <v>130</v>
      </c>
      <c r="P542" t="s">
        <v>130</v>
      </c>
      <c r="Q542">
        <v>0</v>
      </c>
      <c r="R542">
        <v>57443</v>
      </c>
    </row>
    <row r="543" spans="1:18" x14ac:dyDescent="0.25">
      <c r="A543">
        <v>60000542</v>
      </c>
      <c r="B543">
        <v>52</v>
      </c>
      <c r="C543" t="s">
        <v>85</v>
      </c>
      <c r="D543" t="s">
        <v>88</v>
      </c>
      <c r="E543" t="s">
        <v>95</v>
      </c>
      <c r="F543" t="s">
        <v>103</v>
      </c>
      <c r="G543">
        <v>37</v>
      </c>
      <c r="H543" t="s">
        <v>111</v>
      </c>
      <c r="I543" t="s">
        <v>143</v>
      </c>
      <c r="J543" t="s">
        <v>62</v>
      </c>
      <c r="K543" t="s">
        <v>15</v>
      </c>
      <c r="L543" t="s">
        <v>59</v>
      </c>
      <c r="M543" t="s">
        <v>129</v>
      </c>
      <c r="N543" t="s">
        <v>129</v>
      </c>
      <c r="O543" t="s">
        <v>129</v>
      </c>
      <c r="P543" t="s">
        <v>130</v>
      </c>
      <c r="Q543">
        <v>0</v>
      </c>
      <c r="R543">
        <v>37654</v>
      </c>
    </row>
    <row r="544" spans="1:18" x14ac:dyDescent="0.25">
      <c r="A544">
        <v>60000543</v>
      </c>
      <c r="B544">
        <v>56</v>
      </c>
      <c r="C544" t="s">
        <v>85</v>
      </c>
      <c r="D544" t="s">
        <v>88</v>
      </c>
      <c r="E544" t="s">
        <v>94</v>
      </c>
      <c r="F544" t="s">
        <v>103</v>
      </c>
      <c r="G544">
        <v>31</v>
      </c>
      <c r="H544" t="s">
        <v>110</v>
      </c>
      <c r="I544" t="s">
        <v>146</v>
      </c>
      <c r="J544" t="s">
        <v>75</v>
      </c>
      <c r="K544" t="s">
        <v>66</v>
      </c>
      <c r="L544" t="s">
        <v>59</v>
      </c>
      <c r="M544" t="s">
        <v>130</v>
      </c>
      <c r="N544" t="s">
        <v>130</v>
      </c>
      <c r="O544" t="s">
        <v>130</v>
      </c>
      <c r="P544" t="s">
        <v>130</v>
      </c>
      <c r="Q544">
        <v>0</v>
      </c>
      <c r="R544">
        <v>76747</v>
      </c>
    </row>
    <row r="545" spans="1:18" x14ac:dyDescent="0.25">
      <c r="A545">
        <v>60000544</v>
      </c>
      <c r="B545">
        <v>57</v>
      </c>
      <c r="C545" t="s">
        <v>86</v>
      </c>
      <c r="D545" t="s">
        <v>87</v>
      </c>
      <c r="E545" t="s">
        <v>98</v>
      </c>
      <c r="F545" t="s">
        <v>103</v>
      </c>
      <c r="G545">
        <v>22</v>
      </c>
      <c r="H545" t="s">
        <v>109</v>
      </c>
      <c r="I545" t="s">
        <v>55</v>
      </c>
      <c r="J545" t="s">
        <v>47</v>
      </c>
      <c r="K545" t="s">
        <v>51</v>
      </c>
      <c r="L545" t="s">
        <v>128</v>
      </c>
      <c r="M545" t="s">
        <v>130</v>
      </c>
      <c r="N545" t="s">
        <v>130</v>
      </c>
      <c r="O545" t="s">
        <v>129</v>
      </c>
      <c r="P545" t="s">
        <v>129</v>
      </c>
      <c r="Q545">
        <v>7</v>
      </c>
      <c r="R545">
        <v>79615</v>
      </c>
    </row>
    <row r="546" spans="1:18" x14ac:dyDescent="0.25">
      <c r="A546">
        <v>60000545</v>
      </c>
      <c r="B546">
        <v>36</v>
      </c>
      <c r="C546" t="s">
        <v>85</v>
      </c>
      <c r="D546" t="s">
        <v>88</v>
      </c>
      <c r="E546" t="s">
        <v>97</v>
      </c>
      <c r="F546" t="s">
        <v>102</v>
      </c>
      <c r="G546">
        <v>18</v>
      </c>
      <c r="H546" t="s">
        <v>132</v>
      </c>
      <c r="I546" t="s">
        <v>50</v>
      </c>
      <c r="J546" t="s">
        <v>47</v>
      </c>
      <c r="K546" t="s">
        <v>42</v>
      </c>
      <c r="L546" t="s">
        <v>59</v>
      </c>
      <c r="M546" t="s">
        <v>129</v>
      </c>
      <c r="N546" t="s">
        <v>130</v>
      </c>
      <c r="O546" t="s">
        <v>130</v>
      </c>
      <c r="P546" t="s">
        <v>129</v>
      </c>
      <c r="Q546">
        <v>0</v>
      </c>
      <c r="R546">
        <v>51669</v>
      </c>
    </row>
    <row r="547" spans="1:18" x14ac:dyDescent="0.25">
      <c r="A547">
        <v>60000546</v>
      </c>
      <c r="B547">
        <v>61</v>
      </c>
      <c r="C547" t="s">
        <v>86</v>
      </c>
      <c r="D547" t="s">
        <v>88</v>
      </c>
      <c r="E547" t="s">
        <v>94</v>
      </c>
      <c r="F547" t="s">
        <v>104</v>
      </c>
      <c r="G547">
        <v>21</v>
      </c>
      <c r="H547" t="s">
        <v>109</v>
      </c>
      <c r="I547" t="s">
        <v>11</v>
      </c>
      <c r="J547" t="s">
        <v>23</v>
      </c>
      <c r="K547" t="s">
        <v>29</v>
      </c>
      <c r="L547" t="s">
        <v>10</v>
      </c>
      <c r="M547" t="s">
        <v>129</v>
      </c>
      <c r="N547" t="s">
        <v>130</v>
      </c>
      <c r="O547" t="s">
        <v>130</v>
      </c>
      <c r="P547" t="s">
        <v>130</v>
      </c>
      <c r="Q547">
        <v>0</v>
      </c>
      <c r="R547">
        <v>45235</v>
      </c>
    </row>
    <row r="548" spans="1:18" x14ac:dyDescent="0.25">
      <c r="A548">
        <v>60000547</v>
      </c>
      <c r="B548">
        <v>64</v>
      </c>
      <c r="C548" t="s">
        <v>86</v>
      </c>
      <c r="D548" t="s">
        <v>87</v>
      </c>
      <c r="E548" t="s">
        <v>93</v>
      </c>
      <c r="F548" t="s">
        <v>104</v>
      </c>
      <c r="G548">
        <v>33</v>
      </c>
      <c r="H548" t="s">
        <v>111</v>
      </c>
      <c r="I548" t="s">
        <v>146</v>
      </c>
      <c r="J548" t="s">
        <v>23</v>
      </c>
      <c r="K548" t="s">
        <v>65</v>
      </c>
      <c r="L548" t="s">
        <v>128</v>
      </c>
      <c r="M548" t="s">
        <v>129</v>
      </c>
      <c r="N548" t="s">
        <v>129</v>
      </c>
      <c r="O548" t="s">
        <v>129</v>
      </c>
      <c r="P548" t="s">
        <v>130</v>
      </c>
      <c r="Q548">
        <v>0</v>
      </c>
      <c r="R548">
        <v>69731</v>
      </c>
    </row>
    <row r="549" spans="1:18" x14ac:dyDescent="0.25">
      <c r="A549">
        <v>60000548</v>
      </c>
      <c r="B549">
        <v>51</v>
      </c>
      <c r="C549" t="s">
        <v>86</v>
      </c>
      <c r="D549" t="s">
        <v>87</v>
      </c>
      <c r="E549" t="s">
        <v>94</v>
      </c>
      <c r="F549" t="s">
        <v>103</v>
      </c>
      <c r="G549">
        <v>17</v>
      </c>
      <c r="H549" t="s">
        <v>132</v>
      </c>
      <c r="I549" t="s">
        <v>50</v>
      </c>
      <c r="J549" t="s">
        <v>62</v>
      </c>
      <c r="K549" t="s">
        <v>40</v>
      </c>
      <c r="L549" t="s">
        <v>59</v>
      </c>
      <c r="M549" t="s">
        <v>130</v>
      </c>
      <c r="N549" t="s">
        <v>129</v>
      </c>
      <c r="O549" t="s">
        <v>129</v>
      </c>
      <c r="P549" t="s">
        <v>130</v>
      </c>
      <c r="Q549">
        <v>0</v>
      </c>
      <c r="R549">
        <v>40946</v>
      </c>
    </row>
    <row r="550" spans="1:18" x14ac:dyDescent="0.25">
      <c r="A550">
        <v>60000549</v>
      </c>
      <c r="B550">
        <v>54</v>
      </c>
      <c r="C550" t="s">
        <v>85</v>
      </c>
      <c r="D550" t="s">
        <v>87</v>
      </c>
      <c r="E550" t="s">
        <v>90</v>
      </c>
      <c r="F550" t="s">
        <v>102</v>
      </c>
      <c r="G550">
        <v>33</v>
      </c>
      <c r="H550" t="s">
        <v>111</v>
      </c>
      <c r="I550" t="s">
        <v>143</v>
      </c>
      <c r="J550" t="s">
        <v>53</v>
      </c>
      <c r="K550" t="s">
        <v>35</v>
      </c>
      <c r="L550" t="s">
        <v>128</v>
      </c>
      <c r="M550" t="s">
        <v>129</v>
      </c>
      <c r="N550" t="s">
        <v>129</v>
      </c>
      <c r="O550" t="s">
        <v>129</v>
      </c>
      <c r="P550" t="s">
        <v>130</v>
      </c>
      <c r="Q550">
        <v>0</v>
      </c>
      <c r="R550">
        <v>69945</v>
      </c>
    </row>
    <row r="551" spans="1:18" x14ac:dyDescent="0.25">
      <c r="A551">
        <v>60000550</v>
      </c>
      <c r="B551">
        <v>23</v>
      </c>
      <c r="C551" t="s">
        <v>85</v>
      </c>
      <c r="D551" t="s">
        <v>88</v>
      </c>
      <c r="E551" t="s">
        <v>93</v>
      </c>
      <c r="F551" t="s">
        <v>102</v>
      </c>
      <c r="G551">
        <v>33</v>
      </c>
      <c r="H551" t="s">
        <v>111</v>
      </c>
      <c r="I551" t="s">
        <v>150</v>
      </c>
      <c r="J551" t="s">
        <v>25</v>
      </c>
      <c r="K551" t="s">
        <v>67</v>
      </c>
      <c r="L551" t="s">
        <v>10</v>
      </c>
      <c r="M551" t="s">
        <v>130</v>
      </c>
      <c r="N551" t="s">
        <v>129</v>
      </c>
      <c r="O551" t="s">
        <v>129</v>
      </c>
      <c r="P551" t="s">
        <v>130</v>
      </c>
      <c r="Q551">
        <v>0</v>
      </c>
      <c r="R551">
        <v>67008</v>
      </c>
    </row>
    <row r="552" spans="1:18" x14ac:dyDescent="0.25">
      <c r="A552">
        <v>60000551</v>
      </c>
      <c r="B552">
        <v>21</v>
      </c>
      <c r="C552" t="s">
        <v>86</v>
      </c>
      <c r="D552" t="s">
        <v>87</v>
      </c>
      <c r="E552" t="s">
        <v>93</v>
      </c>
      <c r="F552" t="s">
        <v>104</v>
      </c>
      <c r="G552">
        <v>21</v>
      </c>
      <c r="H552" t="s">
        <v>109</v>
      </c>
      <c r="I552" t="s">
        <v>11</v>
      </c>
      <c r="J552" t="s">
        <v>23</v>
      </c>
      <c r="K552" t="s">
        <v>22</v>
      </c>
      <c r="L552" t="s">
        <v>10</v>
      </c>
      <c r="M552" t="s">
        <v>129</v>
      </c>
      <c r="N552" t="s">
        <v>129</v>
      </c>
      <c r="O552" t="s">
        <v>129</v>
      </c>
      <c r="P552" t="s">
        <v>129</v>
      </c>
      <c r="Q552">
        <v>4</v>
      </c>
      <c r="R552">
        <v>56667</v>
      </c>
    </row>
    <row r="553" spans="1:18" x14ac:dyDescent="0.25">
      <c r="A553">
        <v>60000552</v>
      </c>
      <c r="B553">
        <v>61</v>
      </c>
      <c r="C553" t="s">
        <v>85</v>
      </c>
      <c r="D553" t="s">
        <v>88</v>
      </c>
      <c r="E553" t="s">
        <v>93</v>
      </c>
      <c r="F553" t="s">
        <v>104</v>
      </c>
      <c r="G553">
        <v>28</v>
      </c>
      <c r="H553" t="s">
        <v>110</v>
      </c>
      <c r="I553" t="s">
        <v>149</v>
      </c>
      <c r="J553" t="s">
        <v>62</v>
      </c>
      <c r="K553" t="s">
        <v>68</v>
      </c>
      <c r="L553" t="s">
        <v>128</v>
      </c>
      <c r="M553" t="s">
        <v>130</v>
      </c>
      <c r="N553" t="s">
        <v>129</v>
      </c>
      <c r="O553" t="s">
        <v>130</v>
      </c>
      <c r="P553" t="s">
        <v>130</v>
      </c>
      <c r="Q553">
        <v>0</v>
      </c>
      <c r="R553">
        <v>32042</v>
      </c>
    </row>
    <row r="554" spans="1:18" x14ac:dyDescent="0.25">
      <c r="A554">
        <v>60000553</v>
      </c>
      <c r="B554">
        <v>28</v>
      </c>
      <c r="C554" t="s">
        <v>86</v>
      </c>
      <c r="D554" t="s">
        <v>87</v>
      </c>
      <c r="E554" t="s">
        <v>95</v>
      </c>
      <c r="F554" t="s">
        <v>103</v>
      </c>
      <c r="G554">
        <v>35</v>
      </c>
      <c r="H554" t="s">
        <v>111</v>
      </c>
      <c r="I554" t="s">
        <v>146</v>
      </c>
      <c r="J554" t="s">
        <v>14</v>
      </c>
      <c r="K554" t="s">
        <v>61</v>
      </c>
      <c r="L554" t="s">
        <v>10</v>
      </c>
      <c r="M554" t="s">
        <v>129</v>
      </c>
      <c r="N554" t="s">
        <v>130</v>
      </c>
      <c r="O554" t="s">
        <v>130</v>
      </c>
      <c r="P554" t="s">
        <v>129</v>
      </c>
      <c r="Q554">
        <v>7</v>
      </c>
      <c r="R554">
        <v>57373</v>
      </c>
    </row>
    <row r="555" spans="1:18" x14ac:dyDescent="0.25">
      <c r="A555">
        <v>60000554</v>
      </c>
      <c r="B555">
        <v>34</v>
      </c>
      <c r="C555" t="s">
        <v>85</v>
      </c>
      <c r="D555" t="s">
        <v>87</v>
      </c>
      <c r="E555" t="s">
        <v>95</v>
      </c>
      <c r="F555" t="s">
        <v>103</v>
      </c>
      <c r="G555">
        <v>11</v>
      </c>
      <c r="H555" t="s">
        <v>108</v>
      </c>
      <c r="I555" t="s">
        <v>50</v>
      </c>
      <c r="J555" t="s">
        <v>16</v>
      </c>
      <c r="K555" t="s">
        <v>51</v>
      </c>
      <c r="L555" t="s">
        <v>128</v>
      </c>
      <c r="M555" t="s">
        <v>129</v>
      </c>
      <c r="N555" t="s">
        <v>129</v>
      </c>
      <c r="O555" t="s">
        <v>129</v>
      </c>
      <c r="P555" t="s">
        <v>130</v>
      </c>
      <c r="Q555">
        <v>0</v>
      </c>
      <c r="R555">
        <v>34399</v>
      </c>
    </row>
    <row r="556" spans="1:18" x14ac:dyDescent="0.25">
      <c r="A556">
        <v>60000555</v>
      </c>
      <c r="B556">
        <v>29</v>
      </c>
      <c r="C556" t="s">
        <v>85</v>
      </c>
      <c r="D556" t="s">
        <v>88</v>
      </c>
      <c r="E556" t="s">
        <v>91</v>
      </c>
      <c r="F556" t="s">
        <v>102</v>
      </c>
      <c r="G556">
        <v>38</v>
      </c>
      <c r="H556" t="s">
        <v>111</v>
      </c>
      <c r="I556" t="s">
        <v>139</v>
      </c>
      <c r="J556" t="s">
        <v>47</v>
      </c>
      <c r="K556" t="s">
        <v>54</v>
      </c>
      <c r="L556" t="s">
        <v>59</v>
      </c>
      <c r="M556" t="s">
        <v>129</v>
      </c>
      <c r="N556" t="s">
        <v>129</v>
      </c>
      <c r="O556" t="s">
        <v>129</v>
      </c>
      <c r="P556" t="s">
        <v>130</v>
      </c>
      <c r="Q556">
        <v>0</v>
      </c>
      <c r="R556">
        <v>65066</v>
      </c>
    </row>
    <row r="557" spans="1:18" x14ac:dyDescent="0.25">
      <c r="A557">
        <v>60000556</v>
      </c>
      <c r="B557">
        <v>33</v>
      </c>
      <c r="C557" t="s">
        <v>85</v>
      </c>
      <c r="D557" t="s">
        <v>88</v>
      </c>
      <c r="E557" t="s">
        <v>93</v>
      </c>
      <c r="F557" t="s">
        <v>102</v>
      </c>
      <c r="G557">
        <v>15</v>
      </c>
      <c r="H557" t="s">
        <v>132</v>
      </c>
      <c r="I557" t="s">
        <v>145</v>
      </c>
      <c r="J557" t="s">
        <v>12</v>
      </c>
      <c r="K557" t="s">
        <v>33</v>
      </c>
      <c r="L557" t="s">
        <v>59</v>
      </c>
      <c r="M557" t="s">
        <v>129</v>
      </c>
      <c r="N557" t="s">
        <v>130</v>
      </c>
      <c r="O557" t="s">
        <v>130</v>
      </c>
      <c r="P557" t="s">
        <v>130</v>
      </c>
      <c r="Q557">
        <v>0</v>
      </c>
      <c r="R557">
        <v>25621</v>
      </c>
    </row>
    <row r="558" spans="1:18" x14ac:dyDescent="0.25">
      <c r="A558">
        <v>60000557</v>
      </c>
      <c r="B558">
        <v>28</v>
      </c>
      <c r="C558" t="s">
        <v>86</v>
      </c>
      <c r="D558" t="s">
        <v>88</v>
      </c>
      <c r="E558" t="s">
        <v>95</v>
      </c>
      <c r="F558" t="s">
        <v>104</v>
      </c>
      <c r="G558">
        <v>23</v>
      </c>
      <c r="H558" t="s">
        <v>109</v>
      </c>
      <c r="I558" t="s">
        <v>150</v>
      </c>
      <c r="J558" t="s">
        <v>12</v>
      </c>
      <c r="K558" t="s">
        <v>45</v>
      </c>
      <c r="L558" t="s">
        <v>10</v>
      </c>
      <c r="M558" t="s">
        <v>130</v>
      </c>
      <c r="N558" t="s">
        <v>130</v>
      </c>
      <c r="O558" t="s">
        <v>129</v>
      </c>
      <c r="P558" t="s">
        <v>129</v>
      </c>
      <c r="Q558">
        <v>7</v>
      </c>
      <c r="R558">
        <v>81039</v>
      </c>
    </row>
    <row r="559" spans="1:18" x14ac:dyDescent="0.25">
      <c r="A559">
        <v>60000558</v>
      </c>
      <c r="B559">
        <v>23</v>
      </c>
      <c r="C559" t="s">
        <v>85</v>
      </c>
      <c r="D559" t="s">
        <v>87</v>
      </c>
      <c r="E559" t="s">
        <v>93</v>
      </c>
      <c r="F559" t="s">
        <v>104</v>
      </c>
      <c r="G559">
        <v>23</v>
      </c>
      <c r="H559" t="s">
        <v>109</v>
      </c>
      <c r="I559" t="s">
        <v>150</v>
      </c>
      <c r="J559" t="s">
        <v>75</v>
      </c>
      <c r="K559" t="s">
        <v>74</v>
      </c>
      <c r="L559" t="s">
        <v>128</v>
      </c>
      <c r="M559" t="s">
        <v>129</v>
      </c>
      <c r="N559" t="s">
        <v>130</v>
      </c>
      <c r="O559" t="s">
        <v>130</v>
      </c>
      <c r="P559" t="s">
        <v>130</v>
      </c>
      <c r="Q559">
        <v>0</v>
      </c>
      <c r="R559">
        <v>60055</v>
      </c>
    </row>
    <row r="560" spans="1:18" x14ac:dyDescent="0.25">
      <c r="A560">
        <v>60000559</v>
      </c>
      <c r="B560">
        <v>24</v>
      </c>
      <c r="C560" t="s">
        <v>85</v>
      </c>
      <c r="D560" t="s">
        <v>87</v>
      </c>
      <c r="E560" t="s">
        <v>96</v>
      </c>
      <c r="F560" t="s">
        <v>103</v>
      </c>
      <c r="G560">
        <v>31</v>
      </c>
      <c r="H560" t="s">
        <v>110</v>
      </c>
      <c r="I560" t="s">
        <v>148</v>
      </c>
      <c r="J560" t="s">
        <v>21</v>
      </c>
      <c r="K560" t="s">
        <v>60</v>
      </c>
      <c r="L560" t="s">
        <v>59</v>
      </c>
      <c r="M560" t="s">
        <v>130</v>
      </c>
      <c r="N560" t="s">
        <v>129</v>
      </c>
      <c r="O560" t="s">
        <v>129</v>
      </c>
      <c r="P560" t="s">
        <v>129</v>
      </c>
      <c r="Q560">
        <v>4</v>
      </c>
      <c r="R560">
        <v>59665</v>
      </c>
    </row>
    <row r="561" spans="1:18" x14ac:dyDescent="0.25">
      <c r="A561">
        <v>60000560</v>
      </c>
      <c r="B561">
        <v>49</v>
      </c>
      <c r="C561" t="s">
        <v>86</v>
      </c>
      <c r="D561" t="s">
        <v>88</v>
      </c>
      <c r="E561" t="s">
        <v>98</v>
      </c>
      <c r="F561" t="s">
        <v>102</v>
      </c>
      <c r="G561">
        <v>18</v>
      </c>
      <c r="H561" t="s">
        <v>132</v>
      </c>
      <c r="I561" t="s">
        <v>146</v>
      </c>
      <c r="J561" t="s">
        <v>25</v>
      </c>
      <c r="K561" t="s">
        <v>48</v>
      </c>
      <c r="L561" t="s">
        <v>128</v>
      </c>
      <c r="M561" t="s">
        <v>130</v>
      </c>
      <c r="N561" t="s">
        <v>129</v>
      </c>
      <c r="O561" t="s">
        <v>129</v>
      </c>
      <c r="P561" t="s">
        <v>129</v>
      </c>
      <c r="Q561">
        <v>2</v>
      </c>
      <c r="R561">
        <v>79766</v>
      </c>
    </row>
    <row r="562" spans="1:18" x14ac:dyDescent="0.25">
      <c r="A562">
        <v>60000561</v>
      </c>
      <c r="B562">
        <v>44</v>
      </c>
      <c r="C562" t="s">
        <v>86</v>
      </c>
      <c r="D562" t="s">
        <v>87</v>
      </c>
      <c r="E562" t="s">
        <v>100</v>
      </c>
      <c r="F562" t="s">
        <v>102</v>
      </c>
      <c r="G562">
        <v>26</v>
      </c>
      <c r="H562" t="s">
        <v>110</v>
      </c>
      <c r="I562" t="s">
        <v>22</v>
      </c>
      <c r="J562" t="s">
        <v>18</v>
      </c>
      <c r="K562" t="s">
        <v>45</v>
      </c>
      <c r="L562" t="s">
        <v>10</v>
      </c>
      <c r="M562" t="s">
        <v>129</v>
      </c>
      <c r="N562" t="s">
        <v>130</v>
      </c>
      <c r="O562" t="s">
        <v>130</v>
      </c>
      <c r="P562" t="s">
        <v>130</v>
      </c>
      <c r="Q562">
        <v>0</v>
      </c>
      <c r="R562">
        <v>72085</v>
      </c>
    </row>
    <row r="563" spans="1:18" x14ac:dyDescent="0.25">
      <c r="A563">
        <v>60000562</v>
      </c>
      <c r="B563">
        <v>48</v>
      </c>
      <c r="C563" t="s">
        <v>86</v>
      </c>
      <c r="D563" t="s">
        <v>87</v>
      </c>
      <c r="E563" t="s">
        <v>5</v>
      </c>
      <c r="F563" t="s">
        <v>103</v>
      </c>
      <c r="G563">
        <v>20</v>
      </c>
      <c r="H563" t="s">
        <v>109</v>
      </c>
      <c r="I563" t="s">
        <v>150</v>
      </c>
      <c r="J563" t="s">
        <v>62</v>
      </c>
      <c r="K563" t="s">
        <v>70</v>
      </c>
      <c r="L563" t="s">
        <v>10</v>
      </c>
      <c r="M563" t="s">
        <v>129</v>
      </c>
      <c r="N563" t="s">
        <v>130</v>
      </c>
      <c r="O563" t="s">
        <v>129</v>
      </c>
      <c r="P563" t="s">
        <v>130</v>
      </c>
      <c r="Q563">
        <v>0</v>
      </c>
      <c r="R563">
        <v>30210</v>
      </c>
    </row>
    <row r="564" spans="1:18" x14ac:dyDescent="0.25">
      <c r="A564">
        <v>60000563</v>
      </c>
      <c r="B564">
        <v>63</v>
      </c>
      <c r="C564" t="s">
        <v>86</v>
      </c>
      <c r="D564" t="s">
        <v>87</v>
      </c>
      <c r="E564" t="s">
        <v>95</v>
      </c>
      <c r="F564" t="s">
        <v>102</v>
      </c>
      <c r="G564">
        <v>34</v>
      </c>
      <c r="H564" t="s">
        <v>111</v>
      </c>
      <c r="I564" t="s">
        <v>55</v>
      </c>
      <c r="J564" t="s">
        <v>14</v>
      </c>
      <c r="K564" t="s">
        <v>39</v>
      </c>
      <c r="L564" t="s">
        <v>59</v>
      </c>
      <c r="M564" t="s">
        <v>129</v>
      </c>
      <c r="N564" t="s">
        <v>130</v>
      </c>
      <c r="O564" t="s">
        <v>130</v>
      </c>
      <c r="P564" t="s">
        <v>129</v>
      </c>
      <c r="Q564">
        <v>2</v>
      </c>
      <c r="R564">
        <v>71522</v>
      </c>
    </row>
    <row r="565" spans="1:18" x14ac:dyDescent="0.25">
      <c r="A565">
        <v>60000564</v>
      </c>
      <c r="B565">
        <v>53</v>
      </c>
      <c r="C565" t="s">
        <v>86</v>
      </c>
      <c r="D565" t="s">
        <v>87</v>
      </c>
      <c r="E565" t="s">
        <v>97</v>
      </c>
      <c r="F565" t="s">
        <v>103</v>
      </c>
      <c r="G565">
        <v>19</v>
      </c>
      <c r="H565" t="s">
        <v>109</v>
      </c>
      <c r="I565" t="s">
        <v>144</v>
      </c>
      <c r="J565" t="s">
        <v>47</v>
      </c>
      <c r="K565" t="s">
        <v>29</v>
      </c>
      <c r="L565" t="s">
        <v>128</v>
      </c>
      <c r="M565" t="s">
        <v>129</v>
      </c>
      <c r="N565" t="s">
        <v>129</v>
      </c>
      <c r="O565" t="s">
        <v>130</v>
      </c>
      <c r="P565" t="s">
        <v>130</v>
      </c>
      <c r="Q565">
        <v>0</v>
      </c>
      <c r="R565">
        <v>72112</v>
      </c>
    </row>
    <row r="566" spans="1:18" x14ac:dyDescent="0.25">
      <c r="A566">
        <v>60000565</v>
      </c>
      <c r="B566">
        <v>33</v>
      </c>
      <c r="C566" t="s">
        <v>86</v>
      </c>
      <c r="D566" t="s">
        <v>87</v>
      </c>
      <c r="E566" t="s">
        <v>90</v>
      </c>
      <c r="F566" t="s">
        <v>102</v>
      </c>
      <c r="G566">
        <v>10</v>
      </c>
      <c r="H566" t="s">
        <v>108</v>
      </c>
      <c r="I566" t="s">
        <v>141</v>
      </c>
      <c r="J566" t="s">
        <v>9</v>
      </c>
      <c r="K566" t="s">
        <v>63</v>
      </c>
      <c r="L566" t="s">
        <v>10</v>
      </c>
      <c r="M566" t="s">
        <v>129</v>
      </c>
      <c r="N566" t="s">
        <v>130</v>
      </c>
      <c r="O566" t="s">
        <v>130</v>
      </c>
      <c r="P566" t="s">
        <v>129</v>
      </c>
      <c r="Q566">
        <v>2</v>
      </c>
      <c r="R566">
        <v>23879</v>
      </c>
    </row>
    <row r="567" spans="1:18" x14ac:dyDescent="0.25">
      <c r="A567">
        <v>60000566</v>
      </c>
      <c r="B567">
        <v>59</v>
      </c>
      <c r="C567" t="s">
        <v>86</v>
      </c>
      <c r="D567" t="s">
        <v>88</v>
      </c>
      <c r="E567" t="s">
        <v>92</v>
      </c>
      <c r="F567" t="s">
        <v>102</v>
      </c>
      <c r="G567">
        <v>37</v>
      </c>
      <c r="H567" t="s">
        <v>111</v>
      </c>
      <c r="I567" t="s">
        <v>143</v>
      </c>
      <c r="J567" t="s">
        <v>62</v>
      </c>
      <c r="K567" t="s">
        <v>67</v>
      </c>
      <c r="L567" t="s">
        <v>10</v>
      </c>
      <c r="M567" t="s">
        <v>129</v>
      </c>
      <c r="N567" t="s">
        <v>129</v>
      </c>
      <c r="O567" t="s">
        <v>130</v>
      </c>
      <c r="P567" t="s">
        <v>130</v>
      </c>
      <c r="Q567">
        <v>0</v>
      </c>
      <c r="R567">
        <v>51537</v>
      </c>
    </row>
    <row r="568" spans="1:18" x14ac:dyDescent="0.25">
      <c r="A568">
        <v>60000567</v>
      </c>
      <c r="B568">
        <v>41</v>
      </c>
      <c r="C568" t="s">
        <v>85</v>
      </c>
      <c r="D568" t="s">
        <v>88</v>
      </c>
      <c r="E568" t="s">
        <v>92</v>
      </c>
      <c r="F568" t="s">
        <v>102</v>
      </c>
      <c r="G568">
        <v>36</v>
      </c>
      <c r="H568" t="s">
        <v>111</v>
      </c>
      <c r="I568" t="s">
        <v>148</v>
      </c>
      <c r="J568" t="s">
        <v>75</v>
      </c>
      <c r="K568" t="s">
        <v>38</v>
      </c>
      <c r="L568" t="s">
        <v>128</v>
      </c>
      <c r="M568" t="s">
        <v>129</v>
      </c>
      <c r="N568" t="s">
        <v>129</v>
      </c>
      <c r="O568" t="s">
        <v>129</v>
      </c>
      <c r="P568" t="s">
        <v>130</v>
      </c>
      <c r="Q568">
        <v>0</v>
      </c>
      <c r="R568">
        <v>73829</v>
      </c>
    </row>
    <row r="569" spans="1:18" x14ac:dyDescent="0.25">
      <c r="A569">
        <v>60000568</v>
      </c>
      <c r="B569">
        <v>41</v>
      </c>
      <c r="C569" t="s">
        <v>85</v>
      </c>
      <c r="D569" t="s">
        <v>87</v>
      </c>
      <c r="E569" t="s">
        <v>93</v>
      </c>
      <c r="F569" t="s">
        <v>103</v>
      </c>
      <c r="G569">
        <v>12</v>
      </c>
      <c r="H569" t="s">
        <v>132</v>
      </c>
      <c r="I569" t="s">
        <v>55</v>
      </c>
      <c r="J569" t="s">
        <v>62</v>
      </c>
      <c r="K569" t="s">
        <v>56</v>
      </c>
      <c r="L569" t="s">
        <v>128</v>
      </c>
      <c r="M569" t="s">
        <v>129</v>
      </c>
      <c r="N569" t="s">
        <v>130</v>
      </c>
      <c r="O569" t="s">
        <v>130</v>
      </c>
      <c r="P569" t="s">
        <v>129</v>
      </c>
      <c r="Q569">
        <v>6</v>
      </c>
      <c r="R569">
        <v>55684</v>
      </c>
    </row>
    <row r="570" spans="1:18" x14ac:dyDescent="0.25">
      <c r="A570">
        <v>60000569</v>
      </c>
      <c r="B570">
        <v>52</v>
      </c>
      <c r="C570" t="s">
        <v>86</v>
      </c>
      <c r="D570" t="s">
        <v>87</v>
      </c>
      <c r="E570" t="s">
        <v>5</v>
      </c>
      <c r="F570" t="s">
        <v>103</v>
      </c>
      <c r="G570">
        <v>34</v>
      </c>
      <c r="H570" t="s">
        <v>111</v>
      </c>
      <c r="I570" t="s">
        <v>141</v>
      </c>
      <c r="J570" t="s">
        <v>9</v>
      </c>
      <c r="K570" t="s">
        <v>11</v>
      </c>
      <c r="L570" t="s">
        <v>128</v>
      </c>
      <c r="M570" t="s">
        <v>130</v>
      </c>
      <c r="N570" t="s">
        <v>129</v>
      </c>
      <c r="O570" t="s">
        <v>129</v>
      </c>
      <c r="P570" t="s">
        <v>129</v>
      </c>
      <c r="Q570">
        <v>1</v>
      </c>
      <c r="R570">
        <v>66711</v>
      </c>
    </row>
    <row r="571" spans="1:18" x14ac:dyDescent="0.25">
      <c r="A571">
        <v>60000570</v>
      </c>
      <c r="B571">
        <v>22</v>
      </c>
      <c r="C571" t="s">
        <v>86</v>
      </c>
      <c r="D571" t="s">
        <v>88</v>
      </c>
      <c r="E571" t="s">
        <v>90</v>
      </c>
      <c r="F571" t="s">
        <v>103</v>
      </c>
      <c r="G571">
        <v>35</v>
      </c>
      <c r="H571" t="s">
        <v>111</v>
      </c>
      <c r="I571" t="s">
        <v>140</v>
      </c>
      <c r="J571" t="s">
        <v>32</v>
      </c>
      <c r="K571" t="s">
        <v>56</v>
      </c>
      <c r="L571" t="s">
        <v>59</v>
      </c>
      <c r="M571" t="s">
        <v>129</v>
      </c>
      <c r="N571" t="s">
        <v>129</v>
      </c>
      <c r="O571" t="s">
        <v>130</v>
      </c>
      <c r="P571" t="s">
        <v>129</v>
      </c>
      <c r="Q571">
        <v>4</v>
      </c>
      <c r="R571">
        <v>35715</v>
      </c>
    </row>
    <row r="572" spans="1:18" x14ac:dyDescent="0.25">
      <c r="A572">
        <v>60000571</v>
      </c>
      <c r="B572">
        <v>31</v>
      </c>
      <c r="C572" t="s">
        <v>86</v>
      </c>
      <c r="D572" t="s">
        <v>87</v>
      </c>
      <c r="E572" t="s">
        <v>100</v>
      </c>
      <c r="F572" t="s">
        <v>104</v>
      </c>
      <c r="G572">
        <v>38</v>
      </c>
      <c r="H572" t="s">
        <v>111</v>
      </c>
      <c r="I572" t="s">
        <v>139</v>
      </c>
      <c r="J572" t="s">
        <v>25</v>
      </c>
      <c r="K572" t="s">
        <v>15</v>
      </c>
      <c r="L572" t="s">
        <v>10</v>
      </c>
      <c r="M572" t="s">
        <v>129</v>
      </c>
      <c r="N572" t="s">
        <v>130</v>
      </c>
      <c r="O572" t="s">
        <v>130</v>
      </c>
      <c r="P572" t="s">
        <v>129</v>
      </c>
      <c r="Q572">
        <v>5</v>
      </c>
      <c r="R572">
        <v>74814</v>
      </c>
    </row>
    <row r="573" spans="1:18" x14ac:dyDescent="0.25">
      <c r="A573">
        <v>60000572</v>
      </c>
      <c r="B573">
        <v>58</v>
      </c>
      <c r="C573" t="s">
        <v>85</v>
      </c>
      <c r="D573" t="s">
        <v>87</v>
      </c>
      <c r="E573" t="s">
        <v>98</v>
      </c>
      <c r="F573" t="s">
        <v>103</v>
      </c>
      <c r="G573">
        <v>13</v>
      </c>
      <c r="H573" t="s">
        <v>132</v>
      </c>
      <c r="I573" t="s">
        <v>147</v>
      </c>
      <c r="J573" t="s">
        <v>21</v>
      </c>
      <c r="K573" t="s">
        <v>40</v>
      </c>
      <c r="L573" t="s">
        <v>59</v>
      </c>
      <c r="M573" t="s">
        <v>130</v>
      </c>
      <c r="N573" t="s">
        <v>130</v>
      </c>
      <c r="O573" t="s">
        <v>129</v>
      </c>
      <c r="P573" t="s">
        <v>130</v>
      </c>
      <c r="Q573">
        <v>0</v>
      </c>
      <c r="R573">
        <v>83368</v>
      </c>
    </row>
    <row r="574" spans="1:18" x14ac:dyDescent="0.25">
      <c r="A574">
        <v>60000573</v>
      </c>
      <c r="B574">
        <v>44</v>
      </c>
      <c r="C574" t="s">
        <v>85</v>
      </c>
      <c r="D574" t="s">
        <v>87</v>
      </c>
      <c r="E574" t="s">
        <v>5</v>
      </c>
      <c r="F574" t="s">
        <v>104</v>
      </c>
      <c r="G574">
        <v>13</v>
      </c>
      <c r="H574" t="s">
        <v>132</v>
      </c>
      <c r="I574" t="s">
        <v>29</v>
      </c>
      <c r="J574" t="s">
        <v>9</v>
      </c>
      <c r="K574" t="s">
        <v>73</v>
      </c>
      <c r="L574" t="s">
        <v>128</v>
      </c>
      <c r="M574" t="s">
        <v>129</v>
      </c>
      <c r="N574" t="s">
        <v>130</v>
      </c>
      <c r="O574" t="s">
        <v>129</v>
      </c>
      <c r="P574" t="s">
        <v>130</v>
      </c>
      <c r="Q574">
        <v>0</v>
      </c>
      <c r="R574">
        <v>37503</v>
      </c>
    </row>
    <row r="575" spans="1:18" x14ac:dyDescent="0.25">
      <c r="A575">
        <v>60000574</v>
      </c>
      <c r="B575">
        <v>35</v>
      </c>
      <c r="C575" t="s">
        <v>85</v>
      </c>
      <c r="D575" t="s">
        <v>88</v>
      </c>
      <c r="E575" t="s">
        <v>91</v>
      </c>
      <c r="F575" t="s">
        <v>104</v>
      </c>
      <c r="G575">
        <v>12</v>
      </c>
      <c r="H575" t="s">
        <v>132</v>
      </c>
      <c r="I575" t="s">
        <v>143</v>
      </c>
      <c r="J575" t="s">
        <v>32</v>
      </c>
      <c r="K575" t="s">
        <v>67</v>
      </c>
      <c r="L575" t="s">
        <v>59</v>
      </c>
      <c r="M575" t="s">
        <v>130</v>
      </c>
      <c r="N575" t="s">
        <v>130</v>
      </c>
      <c r="O575" t="s">
        <v>129</v>
      </c>
      <c r="P575" t="s">
        <v>130</v>
      </c>
      <c r="Q575">
        <v>0</v>
      </c>
      <c r="R575">
        <v>24263</v>
      </c>
    </row>
    <row r="576" spans="1:18" x14ac:dyDescent="0.25">
      <c r="A576">
        <v>60000575</v>
      </c>
      <c r="B576">
        <v>43</v>
      </c>
      <c r="C576" t="s">
        <v>86</v>
      </c>
      <c r="D576" t="s">
        <v>87</v>
      </c>
      <c r="E576" t="s">
        <v>99</v>
      </c>
      <c r="F576" t="s">
        <v>104</v>
      </c>
      <c r="G576">
        <v>14</v>
      </c>
      <c r="H576" t="s">
        <v>132</v>
      </c>
      <c r="I576" t="s">
        <v>148</v>
      </c>
      <c r="J576" t="s">
        <v>18</v>
      </c>
      <c r="K576" t="s">
        <v>54</v>
      </c>
      <c r="L576" t="s">
        <v>59</v>
      </c>
      <c r="M576" t="s">
        <v>130</v>
      </c>
      <c r="N576" t="s">
        <v>130</v>
      </c>
      <c r="O576" t="s">
        <v>129</v>
      </c>
      <c r="P576" t="s">
        <v>130</v>
      </c>
      <c r="Q576">
        <v>0</v>
      </c>
      <c r="R576">
        <v>41770</v>
      </c>
    </row>
    <row r="577" spans="1:18" x14ac:dyDescent="0.25">
      <c r="A577">
        <v>60000576</v>
      </c>
      <c r="B577">
        <v>30</v>
      </c>
      <c r="C577" t="s">
        <v>85</v>
      </c>
      <c r="D577" t="s">
        <v>87</v>
      </c>
      <c r="E577" t="s">
        <v>91</v>
      </c>
      <c r="F577" t="s">
        <v>102</v>
      </c>
      <c r="G577">
        <v>30</v>
      </c>
      <c r="H577" t="s">
        <v>110</v>
      </c>
      <c r="I577" t="s">
        <v>11</v>
      </c>
      <c r="J577" t="s">
        <v>47</v>
      </c>
      <c r="K577" t="s">
        <v>71</v>
      </c>
      <c r="L577" t="s">
        <v>10</v>
      </c>
      <c r="M577" t="s">
        <v>130</v>
      </c>
      <c r="N577" t="s">
        <v>130</v>
      </c>
      <c r="O577" t="s">
        <v>129</v>
      </c>
      <c r="P577" t="s">
        <v>130</v>
      </c>
      <c r="Q577">
        <v>0</v>
      </c>
      <c r="R577">
        <v>55840</v>
      </c>
    </row>
    <row r="578" spans="1:18" x14ac:dyDescent="0.25">
      <c r="A578">
        <v>60000577</v>
      </c>
      <c r="B578">
        <v>48</v>
      </c>
      <c r="C578" t="s">
        <v>86</v>
      </c>
      <c r="D578" t="s">
        <v>87</v>
      </c>
      <c r="E578" t="s">
        <v>95</v>
      </c>
      <c r="F578" t="s">
        <v>104</v>
      </c>
      <c r="G578">
        <v>11</v>
      </c>
      <c r="H578" t="s">
        <v>108</v>
      </c>
      <c r="I578" t="s">
        <v>11</v>
      </c>
      <c r="J578" t="s">
        <v>23</v>
      </c>
      <c r="K578" t="s">
        <v>58</v>
      </c>
      <c r="L578" t="s">
        <v>10</v>
      </c>
      <c r="M578" t="s">
        <v>130</v>
      </c>
      <c r="N578" t="s">
        <v>130</v>
      </c>
      <c r="O578" t="s">
        <v>130</v>
      </c>
      <c r="P578" t="s">
        <v>129</v>
      </c>
      <c r="Q578">
        <v>1</v>
      </c>
      <c r="R578">
        <v>72353</v>
      </c>
    </row>
    <row r="579" spans="1:18" x14ac:dyDescent="0.25">
      <c r="A579">
        <v>60000578</v>
      </c>
      <c r="B579">
        <v>54</v>
      </c>
      <c r="C579" t="s">
        <v>86</v>
      </c>
      <c r="D579" t="s">
        <v>87</v>
      </c>
      <c r="E579" t="s">
        <v>90</v>
      </c>
      <c r="F579" t="s">
        <v>103</v>
      </c>
      <c r="G579">
        <v>36</v>
      </c>
      <c r="H579" t="s">
        <v>111</v>
      </c>
      <c r="I579" t="s">
        <v>146</v>
      </c>
      <c r="J579" t="s">
        <v>62</v>
      </c>
      <c r="K579" t="s">
        <v>61</v>
      </c>
      <c r="L579" t="s">
        <v>59</v>
      </c>
      <c r="M579" t="s">
        <v>129</v>
      </c>
      <c r="N579" t="s">
        <v>130</v>
      </c>
      <c r="O579" t="s">
        <v>129</v>
      </c>
      <c r="P579" t="s">
        <v>129</v>
      </c>
      <c r="Q579">
        <v>6</v>
      </c>
      <c r="R579">
        <v>40780</v>
      </c>
    </row>
    <row r="580" spans="1:18" x14ac:dyDescent="0.25">
      <c r="A580">
        <v>60000579</v>
      </c>
      <c r="B580">
        <v>31</v>
      </c>
      <c r="C580" t="s">
        <v>86</v>
      </c>
      <c r="D580" t="s">
        <v>88</v>
      </c>
      <c r="E580" t="s">
        <v>92</v>
      </c>
      <c r="F580" t="s">
        <v>103</v>
      </c>
      <c r="G580">
        <v>26</v>
      </c>
      <c r="H580" t="s">
        <v>110</v>
      </c>
      <c r="I580" t="s">
        <v>148</v>
      </c>
      <c r="J580" t="s">
        <v>14</v>
      </c>
      <c r="K580" t="s">
        <v>57</v>
      </c>
      <c r="L580" t="s">
        <v>128</v>
      </c>
      <c r="M580" t="s">
        <v>130</v>
      </c>
      <c r="N580" t="s">
        <v>130</v>
      </c>
      <c r="O580" t="s">
        <v>129</v>
      </c>
      <c r="P580" t="s">
        <v>129</v>
      </c>
      <c r="Q580">
        <v>7</v>
      </c>
      <c r="R580">
        <v>76617</v>
      </c>
    </row>
    <row r="581" spans="1:18" x14ac:dyDescent="0.25">
      <c r="A581">
        <v>60000580</v>
      </c>
      <c r="B581">
        <v>46</v>
      </c>
      <c r="C581" t="s">
        <v>85</v>
      </c>
      <c r="D581" t="s">
        <v>88</v>
      </c>
      <c r="E581" t="s">
        <v>5</v>
      </c>
      <c r="F581" t="s">
        <v>102</v>
      </c>
      <c r="G581">
        <v>15</v>
      </c>
      <c r="H581" t="s">
        <v>132</v>
      </c>
      <c r="I581" t="s">
        <v>141</v>
      </c>
      <c r="J581" t="s">
        <v>25</v>
      </c>
      <c r="K581" t="s">
        <v>28</v>
      </c>
      <c r="L581" t="s">
        <v>10</v>
      </c>
      <c r="M581" t="s">
        <v>130</v>
      </c>
      <c r="N581" t="s">
        <v>129</v>
      </c>
      <c r="O581" t="s">
        <v>129</v>
      </c>
      <c r="P581" t="s">
        <v>130</v>
      </c>
      <c r="Q581">
        <v>0</v>
      </c>
      <c r="R581">
        <v>68090</v>
      </c>
    </row>
    <row r="582" spans="1:18" x14ac:dyDescent="0.25">
      <c r="A582">
        <v>60000581</v>
      </c>
      <c r="B582">
        <v>25</v>
      </c>
      <c r="C582" t="s">
        <v>86</v>
      </c>
      <c r="D582" t="s">
        <v>88</v>
      </c>
      <c r="E582" t="s">
        <v>96</v>
      </c>
      <c r="F582" t="s">
        <v>102</v>
      </c>
      <c r="G582">
        <v>10</v>
      </c>
      <c r="H582" t="s">
        <v>108</v>
      </c>
      <c r="I582" t="s">
        <v>142</v>
      </c>
      <c r="J582" t="s">
        <v>23</v>
      </c>
      <c r="K582" t="s">
        <v>29</v>
      </c>
      <c r="L582" t="s">
        <v>59</v>
      </c>
      <c r="M582" t="s">
        <v>129</v>
      </c>
      <c r="N582" t="s">
        <v>130</v>
      </c>
      <c r="O582" t="s">
        <v>130</v>
      </c>
      <c r="P582" t="s">
        <v>129</v>
      </c>
      <c r="Q582">
        <v>7</v>
      </c>
      <c r="R582">
        <v>46276</v>
      </c>
    </row>
    <row r="583" spans="1:18" x14ac:dyDescent="0.25">
      <c r="A583">
        <v>60000582</v>
      </c>
      <c r="B583">
        <v>27</v>
      </c>
      <c r="C583" t="s">
        <v>86</v>
      </c>
      <c r="D583" t="s">
        <v>87</v>
      </c>
      <c r="E583" t="s">
        <v>93</v>
      </c>
      <c r="F583" t="s">
        <v>102</v>
      </c>
      <c r="G583">
        <v>11</v>
      </c>
      <c r="H583" t="s">
        <v>108</v>
      </c>
      <c r="I583" t="s">
        <v>142</v>
      </c>
      <c r="J583" t="s">
        <v>75</v>
      </c>
      <c r="K583" t="s">
        <v>68</v>
      </c>
      <c r="L583" t="s">
        <v>10</v>
      </c>
      <c r="M583" t="s">
        <v>130</v>
      </c>
      <c r="N583" t="s">
        <v>130</v>
      </c>
      <c r="O583" t="s">
        <v>130</v>
      </c>
      <c r="P583" t="s">
        <v>129</v>
      </c>
      <c r="Q583">
        <v>7</v>
      </c>
      <c r="R583">
        <v>41093</v>
      </c>
    </row>
    <row r="584" spans="1:18" x14ac:dyDescent="0.25">
      <c r="A584">
        <v>60000583</v>
      </c>
      <c r="B584">
        <v>38</v>
      </c>
      <c r="C584" t="s">
        <v>86</v>
      </c>
      <c r="D584" t="s">
        <v>88</v>
      </c>
      <c r="E584" t="s">
        <v>98</v>
      </c>
      <c r="F584" t="s">
        <v>102</v>
      </c>
      <c r="G584">
        <v>36</v>
      </c>
      <c r="H584" t="s">
        <v>111</v>
      </c>
      <c r="I584" t="s">
        <v>139</v>
      </c>
      <c r="J584" t="s">
        <v>23</v>
      </c>
      <c r="K584" t="s">
        <v>66</v>
      </c>
      <c r="L584" t="s">
        <v>10</v>
      </c>
      <c r="M584" t="s">
        <v>130</v>
      </c>
      <c r="N584" t="s">
        <v>129</v>
      </c>
      <c r="O584" t="s">
        <v>129</v>
      </c>
      <c r="P584" t="s">
        <v>129</v>
      </c>
      <c r="Q584">
        <v>1</v>
      </c>
      <c r="R584">
        <v>53884</v>
      </c>
    </row>
    <row r="585" spans="1:18" x14ac:dyDescent="0.25">
      <c r="A585">
        <v>60000584</v>
      </c>
      <c r="B585">
        <v>31</v>
      </c>
      <c r="C585" t="s">
        <v>85</v>
      </c>
      <c r="D585" t="s">
        <v>87</v>
      </c>
      <c r="E585" t="s">
        <v>98</v>
      </c>
      <c r="F585" t="s">
        <v>103</v>
      </c>
      <c r="G585">
        <v>32</v>
      </c>
      <c r="H585" t="s">
        <v>111</v>
      </c>
      <c r="I585" t="s">
        <v>50</v>
      </c>
      <c r="J585" t="s">
        <v>47</v>
      </c>
      <c r="K585" t="s">
        <v>28</v>
      </c>
      <c r="L585" t="s">
        <v>59</v>
      </c>
      <c r="M585" t="s">
        <v>129</v>
      </c>
      <c r="N585" t="s">
        <v>129</v>
      </c>
      <c r="O585" t="s">
        <v>129</v>
      </c>
      <c r="P585" t="s">
        <v>130</v>
      </c>
      <c r="Q585">
        <v>0</v>
      </c>
      <c r="R585">
        <v>76973</v>
      </c>
    </row>
    <row r="586" spans="1:18" x14ac:dyDescent="0.25">
      <c r="A586">
        <v>60000585</v>
      </c>
      <c r="B586">
        <v>52</v>
      </c>
      <c r="C586" t="s">
        <v>86</v>
      </c>
      <c r="D586" t="s">
        <v>88</v>
      </c>
      <c r="E586" t="s">
        <v>95</v>
      </c>
      <c r="F586" t="s">
        <v>104</v>
      </c>
      <c r="G586">
        <v>14</v>
      </c>
      <c r="H586" t="s">
        <v>132</v>
      </c>
      <c r="I586" t="s">
        <v>147</v>
      </c>
      <c r="J586" t="s">
        <v>47</v>
      </c>
      <c r="K586" t="s">
        <v>37</v>
      </c>
      <c r="L586" t="s">
        <v>10</v>
      </c>
      <c r="M586" t="s">
        <v>130</v>
      </c>
      <c r="N586" t="s">
        <v>130</v>
      </c>
      <c r="O586" t="s">
        <v>129</v>
      </c>
      <c r="P586" t="s">
        <v>130</v>
      </c>
      <c r="Q586">
        <v>0</v>
      </c>
      <c r="R586">
        <v>45982</v>
      </c>
    </row>
    <row r="587" spans="1:18" x14ac:dyDescent="0.25">
      <c r="A587">
        <v>60000586</v>
      </c>
      <c r="B587">
        <v>21</v>
      </c>
      <c r="C587" t="s">
        <v>86</v>
      </c>
      <c r="D587" t="s">
        <v>88</v>
      </c>
      <c r="E587" t="s">
        <v>97</v>
      </c>
      <c r="F587" t="s">
        <v>103</v>
      </c>
      <c r="G587">
        <v>27</v>
      </c>
      <c r="H587" t="s">
        <v>110</v>
      </c>
      <c r="I587" t="s">
        <v>50</v>
      </c>
      <c r="J587" t="s">
        <v>23</v>
      </c>
      <c r="K587" t="s">
        <v>33</v>
      </c>
      <c r="L587" t="s">
        <v>59</v>
      </c>
      <c r="M587" t="s">
        <v>130</v>
      </c>
      <c r="N587" t="s">
        <v>130</v>
      </c>
      <c r="O587" t="s">
        <v>130</v>
      </c>
      <c r="P587" t="s">
        <v>130</v>
      </c>
      <c r="Q587">
        <v>0</v>
      </c>
      <c r="R587">
        <v>28570</v>
      </c>
    </row>
    <row r="588" spans="1:18" x14ac:dyDescent="0.25">
      <c r="A588">
        <v>60000587</v>
      </c>
      <c r="B588">
        <v>65</v>
      </c>
      <c r="C588" t="s">
        <v>85</v>
      </c>
      <c r="D588" t="s">
        <v>87</v>
      </c>
      <c r="E588" t="s">
        <v>98</v>
      </c>
      <c r="F588" t="s">
        <v>104</v>
      </c>
      <c r="G588">
        <v>22</v>
      </c>
      <c r="H588" t="s">
        <v>109</v>
      </c>
      <c r="I588" t="s">
        <v>149</v>
      </c>
      <c r="J588" t="s">
        <v>18</v>
      </c>
      <c r="K588" t="s">
        <v>24</v>
      </c>
      <c r="L588" t="s">
        <v>10</v>
      </c>
      <c r="M588" t="s">
        <v>129</v>
      </c>
      <c r="N588" t="s">
        <v>130</v>
      </c>
      <c r="O588" t="s">
        <v>130</v>
      </c>
      <c r="P588" t="s">
        <v>129</v>
      </c>
      <c r="Q588">
        <v>4</v>
      </c>
      <c r="R588">
        <v>71377</v>
      </c>
    </row>
    <row r="589" spans="1:18" x14ac:dyDescent="0.25">
      <c r="A589">
        <v>60000588</v>
      </c>
      <c r="B589">
        <v>40</v>
      </c>
      <c r="C589" t="s">
        <v>86</v>
      </c>
      <c r="D589" t="s">
        <v>87</v>
      </c>
      <c r="E589" t="s">
        <v>5</v>
      </c>
      <c r="F589" t="s">
        <v>103</v>
      </c>
      <c r="G589">
        <v>26</v>
      </c>
      <c r="H589" t="s">
        <v>110</v>
      </c>
      <c r="I589" t="s">
        <v>139</v>
      </c>
      <c r="J589" t="s">
        <v>23</v>
      </c>
      <c r="K589" t="s">
        <v>13</v>
      </c>
      <c r="L589" t="s">
        <v>10</v>
      </c>
      <c r="M589" t="s">
        <v>129</v>
      </c>
      <c r="N589" t="s">
        <v>129</v>
      </c>
      <c r="O589" t="s">
        <v>129</v>
      </c>
      <c r="P589" t="s">
        <v>130</v>
      </c>
      <c r="Q589">
        <v>0</v>
      </c>
      <c r="R589">
        <v>57215</v>
      </c>
    </row>
    <row r="590" spans="1:18" x14ac:dyDescent="0.25">
      <c r="A590">
        <v>60000589</v>
      </c>
      <c r="B590">
        <v>50</v>
      </c>
      <c r="C590" t="s">
        <v>85</v>
      </c>
      <c r="D590" t="s">
        <v>88</v>
      </c>
      <c r="E590" t="s">
        <v>92</v>
      </c>
      <c r="F590" t="s">
        <v>102</v>
      </c>
      <c r="G590">
        <v>37</v>
      </c>
      <c r="H590" t="s">
        <v>111</v>
      </c>
      <c r="I590" t="s">
        <v>50</v>
      </c>
      <c r="J590" t="s">
        <v>12</v>
      </c>
      <c r="K590" t="s">
        <v>27</v>
      </c>
      <c r="L590" t="s">
        <v>59</v>
      </c>
      <c r="M590" t="s">
        <v>130</v>
      </c>
      <c r="N590" t="s">
        <v>130</v>
      </c>
      <c r="O590" t="s">
        <v>130</v>
      </c>
      <c r="P590" t="s">
        <v>129</v>
      </c>
      <c r="Q590">
        <v>2</v>
      </c>
      <c r="R590">
        <v>48218</v>
      </c>
    </row>
    <row r="591" spans="1:18" x14ac:dyDescent="0.25">
      <c r="A591">
        <v>60000590</v>
      </c>
      <c r="B591">
        <v>33</v>
      </c>
      <c r="C591" t="s">
        <v>85</v>
      </c>
      <c r="D591" t="s">
        <v>87</v>
      </c>
      <c r="E591" t="s">
        <v>94</v>
      </c>
      <c r="F591" t="s">
        <v>102</v>
      </c>
      <c r="G591">
        <v>18</v>
      </c>
      <c r="H591" t="s">
        <v>132</v>
      </c>
      <c r="I591" t="s">
        <v>145</v>
      </c>
      <c r="J591" t="s">
        <v>47</v>
      </c>
      <c r="K591" t="s">
        <v>60</v>
      </c>
      <c r="L591" t="s">
        <v>59</v>
      </c>
      <c r="M591" t="s">
        <v>130</v>
      </c>
      <c r="N591" t="s">
        <v>130</v>
      </c>
      <c r="O591" t="s">
        <v>129</v>
      </c>
      <c r="P591" t="s">
        <v>130</v>
      </c>
      <c r="Q591">
        <v>0</v>
      </c>
      <c r="R591">
        <v>50569</v>
      </c>
    </row>
    <row r="592" spans="1:18" x14ac:dyDescent="0.25">
      <c r="A592">
        <v>60000591</v>
      </c>
      <c r="B592">
        <v>41</v>
      </c>
      <c r="C592" t="s">
        <v>86</v>
      </c>
      <c r="D592" t="s">
        <v>87</v>
      </c>
      <c r="E592" t="s">
        <v>92</v>
      </c>
      <c r="F592" t="s">
        <v>102</v>
      </c>
      <c r="G592">
        <v>28</v>
      </c>
      <c r="H592" t="s">
        <v>110</v>
      </c>
      <c r="I592" t="s">
        <v>143</v>
      </c>
      <c r="J592" t="s">
        <v>21</v>
      </c>
      <c r="K592" t="s">
        <v>71</v>
      </c>
      <c r="L592" t="s">
        <v>59</v>
      </c>
      <c r="M592" t="s">
        <v>130</v>
      </c>
      <c r="N592" t="s">
        <v>130</v>
      </c>
      <c r="O592" t="s">
        <v>130</v>
      </c>
      <c r="P592" t="s">
        <v>130</v>
      </c>
      <c r="Q592">
        <v>0</v>
      </c>
      <c r="R592">
        <v>65399</v>
      </c>
    </row>
    <row r="593" spans="1:18" x14ac:dyDescent="0.25">
      <c r="A593">
        <v>60000592</v>
      </c>
      <c r="B593">
        <v>56</v>
      </c>
      <c r="C593" t="s">
        <v>86</v>
      </c>
      <c r="D593" t="s">
        <v>88</v>
      </c>
      <c r="E593" t="s">
        <v>94</v>
      </c>
      <c r="F593" t="s">
        <v>103</v>
      </c>
      <c r="G593">
        <v>28</v>
      </c>
      <c r="H593" t="s">
        <v>110</v>
      </c>
      <c r="I593" t="s">
        <v>148</v>
      </c>
      <c r="J593" t="s">
        <v>23</v>
      </c>
      <c r="K593" t="s">
        <v>45</v>
      </c>
      <c r="L593" t="s">
        <v>128</v>
      </c>
      <c r="M593" t="s">
        <v>129</v>
      </c>
      <c r="N593" t="s">
        <v>130</v>
      </c>
      <c r="O593" t="s">
        <v>130</v>
      </c>
      <c r="P593" t="s">
        <v>130</v>
      </c>
      <c r="Q593">
        <v>0</v>
      </c>
      <c r="R593">
        <v>52033</v>
      </c>
    </row>
    <row r="594" spans="1:18" x14ac:dyDescent="0.25">
      <c r="A594">
        <v>60000593</v>
      </c>
      <c r="B594">
        <v>26</v>
      </c>
      <c r="C594" t="s">
        <v>86</v>
      </c>
      <c r="D594" t="s">
        <v>88</v>
      </c>
      <c r="E594" t="s">
        <v>97</v>
      </c>
      <c r="F594" t="s">
        <v>102</v>
      </c>
      <c r="G594">
        <v>13</v>
      </c>
      <c r="H594" t="s">
        <v>132</v>
      </c>
      <c r="I594" t="s">
        <v>139</v>
      </c>
      <c r="J594" t="s">
        <v>75</v>
      </c>
      <c r="K594" t="s">
        <v>54</v>
      </c>
      <c r="L594" t="s">
        <v>59</v>
      </c>
      <c r="M594" t="s">
        <v>130</v>
      </c>
      <c r="N594" t="s">
        <v>130</v>
      </c>
      <c r="O594" t="s">
        <v>129</v>
      </c>
      <c r="P594" t="s">
        <v>130</v>
      </c>
      <c r="Q594">
        <v>0</v>
      </c>
      <c r="R594">
        <v>68451</v>
      </c>
    </row>
    <row r="595" spans="1:18" x14ac:dyDescent="0.25">
      <c r="A595">
        <v>60000594</v>
      </c>
      <c r="B595">
        <v>56</v>
      </c>
      <c r="C595" t="s">
        <v>85</v>
      </c>
      <c r="D595" t="s">
        <v>88</v>
      </c>
      <c r="E595" t="s">
        <v>91</v>
      </c>
      <c r="F595" t="s">
        <v>104</v>
      </c>
      <c r="G595">
        <v>19</v>
      </c>
      <c r="H595" t="s">
        <v>109</v>
      </c>
      <c r="I595" t="s">
        <v>22</v>
      </c>
      <c r="J595" t="s">
        <v>12</v>
      </c>
      <c r="K595" t="s">
        <v>44</v>
      </c>
      <c r="L595" t="s">
        <v>59</v>
      </c>
      <c r="M595" t="s">
        <v>130</v>
      </c>
      <c r="N595" t="s">
        <v>129</v>
      </c>
      <c r="O595" t="s">
        <v>129</v>
      </c>
      <c r="P595" t="s">
        <v>130</v>
      </c>
      <c r="Q595">
        <v>0</v>
      </c>
      <c r="R595">
        <v>25667</v>
      </c>
    </row>
    <row r="596" spans="1:18" x14ac:dyDescent="0.25">
      <c r="A596">
        <v>60000595</v>
      </c>
      <c r="B596">
        <v>59</v>
      </c>
      <c r="C596" t="s">
        <v>85</v>
      </c>
      <c r="D596" t="s">
        <v>87</v>
      </c>
      <c r="E596" t="s">
        <v>94</v>
      </c>
      <c r="F596" t="s">
        <v>102</v>
      </c>
      <c r="G596">
        <v>20</v>
      </c>
      <c r="H596" t="s">
        <v>109</v>
      </c>
      <c r="I596" t="s">
        <v>11</v>
      </c>
      <c r="J596" t="s">
        <v>14</v>
      </c>
      <c r="K596" t="s">
        <v>46</v>
      </c>
      <c r="L596" t="s">
        <v>10</v>
      </c>
      <c r="M596" t="s">
        <v>130</v>
      </c>
      <c r="N596" t="s">
        <v>129</v>
      </c>
      <c r="O596" t="s">
        <v>130</v>
      </c>
      <c r="P596" t="s">
        <v>130</v>
      </c>
      <c r="Q596">
        <v>0</v>
      </c>
      <c r="R596">
        <v>83560</v>
      </c>
    </row>
    <row r="597" spans="1:18" x14ac:dyDescent="0.25">
      <c r="A597">
        <v>60000596</v>
      </c>
      <c r="B597">
        <v>44</v>
      </c>
      <c r="C597" t="s">
        <v>86</v>
      </c>
      <c r="D597" t="s">
        <v>88</v>
      </c>
      <c r="E597" t="s">
        <v>91</v>
      </c>
      <c r="F597" t="s">
        <v>103</v>
      </c>
      <c r="G597">
        <v>26</v>
      </c>
      <c r="H597" t="s">
        <v>110</v>
      </c>
      <c r="I597" t="s">
        <v>143</v>
      </c>
      <c r="J597" t="s">
        <v>75</v>
      </c>
      <c r="K597" t="s">
        <v>39</v>
      </c>
      <c r="L597" t="s">
        <v>10</v>
      </c>
      <c r="M597" t="s">
        <v>129</v>
      </c>
      <c r="N597" t="s">
        <v>130</v>
      </c>
      <c r="O597" t="s">
        <v>129</v>
      </c>
      <c r="P597" t="s">
        <v>130</v>
      </c>
      <c r="Q597">
        <v>0</v>
      </c>
      <c r="R597">
        <v>57917</v>
      </c>
    </row>
    <row r="598" spans="1:18" x14ac:dyDescent="0.25">
      <c r="A598">
        <v>60000597</v>
      </c>
      <c r="B598">
        <v>56</v>
      </c>
      <c r="C598" t="s">
        <v>86</v>
      </c>
      <c r="D598" t="s">
        <v>87</v>
      </c>
      <c r="E598" t="s">
        <v>97</v>
      </c>
      <c r="F598" t="s">
        <v>104</v>
      </c>
      <c r="G598">
        <v>16</v>
      </c>
      <c r="H598" t="s">
        <v>132</v>
      </c>
      <c r="I598" t="s">
        <v>11</v>
      </c>
      <c r="J598" t="s">
        <v>16</v>
      </c>
      <c r="K598" t="s">
        <v>15</v>
      </c>
      <c r="L598" t="s">
        <v>59</v>
      </c>
      <c r="M598" t="s">
        <v>130</v>
      </c>
      <c r="N598" t="s">
        <v>130</v>
      </c>
      <c r="O598" t="s">
        <v>130</v>
      </c>
      <c r="P598" t="s">
        <v>130</v>
      </c>
      <c r="Q598">
        <v>0</v>
      </c>
      <c r="R598">
        <v>50258</v>
      </c>
    </row>
    <row r="599" spans="1:18" x14ac:dyDescent="0.25">
      <c r="A599">
        <v>60000598</v>
      </c>
      <c r="B599">
        <v>34</v>
      </c>
      <c r="C599" t="s">
        <v>86</v>
      </c>
      <c r="D599" t="s">
        <v>88</v>
      </c>
      <c r="E599" t="s">
        <v>90</v>
      </c>
      <c r="F599" t="s">
        <v>104</v>
      </c>
      <c r="G599">
        <v>15</v>
      </c>
      <c r="H599" t="s">
        <v>132</v>
      </c>
      <c r="I599" t="s">
        <v>139</v>
      </c>
      <c r="J599" t="s">
        <v>14</v>
      </c>
      <c r="K599" t="s">
        <v>70</v>
      </c>
      <c r="L599" t="s">
        <v>10</v>
      </c>
      <c r="M599" t="s">
        <v>130</v>
      </c>
      <c r="N599" t="s">
        <v>129</v>
      </c>
      <c r="O599" t="s">
        <v>130</v>
      </c>
      <c r="P599" t="s">
        <v>129</v>
      </c>
      <c r="Q599">
        <v>1</v>
      </c>
      <c r="R599">
        <v>53537</v>
      </c>
    </row>
    <row r="600" spans="1:18" x14ac:dyDescent="0.25">
      <c r="A600">
        <v>60000599</v>
      </c>
      <c r="B600">
        <v>31</v>
      </c>
      <c r="C600" t="s">
        <v>85</v>
      </c>
      <c r="D600" t="s">
        <v>88</v>
      </c>
      <c r="E600" t="s">
        <v>90</v>
      </c>
      <c r="F600" t="s">
        <v>104</v>
      </c>
      <c r="G600">
        <v>22</v>
      </c>
      <c r="H600" t="s">
        <v>109</v>
      </c>
      <c r="I600" t="s">
        <v>147</v>
      </c>
      <c r="J600" t="s">
        <v>62</v>
      </c>
      <c r="K600" t="s">
        <v>58</v>
      </c>
      <c r="L600" t="s">
        <v>59</v>
      </c>
      <c r="M600" t="s">
        <v>129</v>
      </c>
      <c r="N600" t="s">
        <v>129</v>
      </c>
      <c r="O600" t="s">
        <v>129</v>
      </c>
      <c r="P600" t="s">
        <v>129</v>
      </c>
      <c r="Q600">
        <v>5</v>
      </c>
      <c r="R600">
        <v>36408</v>
      </c>
    </row>
    <row r="601" spans="1:18" x14ac:dyDescent="0.25">
      <c r="A601">
        <v>60000600</v>
      </c>
      <c r="B601">
        <v>54</v>
      </c>
      <c r="C601" t="s">
        <v>86</v>
      </c>
      <c r="D601" t="s">
        <v>88</v>
      </c>
      <c r="E601" t="s">
        <v>92</v>
      </c>
      <c r="F601" t="s">
        <v>102</v>
      </c>
      <c r="G601">
        <v>22</v>
      </c>
      <c r="H601" t="s">
        <v>109</v>
      </c>
      <c r="I601" t="s">
        <v>150</v>
      </c>
      <c r="J601" t="s">
        <v>9</v>
      </c>
      <c r="K601" t="s">
        <v>48</v>
      </c>
      <c r="L601" t="s">
        <v>10</v>
      </c>
      <c r="M601" t="s">
        <v>130</v>
      </c>
      <c r="N601" t="s">
        <v>129</v>
      </c>
      <c r="O601" t="s">
        <v>130</v>
      </c>
      <c r="P601" t="s">
        <v>130</v>
      </c>
      <c r="Q601">
        <v>0</v>
      </c>
      <c r="R601">
        <v>68952</v>
      </c>
    </row>
    <row r="602" spans="1:18" x14ac:dyDescent="0.25">
      <c r="A602">
        <v>60000601</v>
      </c>
      <c r="B602">
        <v>45</v>
      </c>
      <c r="C602" t="s">
        <v>85</v>
      </c>
      <c r="D602" t="s">
        <v>87</v>
      </c>
      <c r="E602" t="s">
        <v>95</v>
      </c>
      <c r="F602" t="s">
        <v>104</v>
      </c>
      <c r="G602">
        <v>27</v>
      </c>
      <c r="H602" t="s">
        <v>110</v>
      </c>
      <c r="I602" t="s">
        <v>142</v>
      </c>
      <c r="J602" t="s">
        <v>12</v>
      </c>
      <c r="K602" t="s">
        <v>27</v>
      </c>
      <c r="L602" t="s">
        <v>59</v>
      </c>
      <c r="M602" t="s">
        <v>129</v>
      </c>
      <c r="N602" t="s">
        <v>130</v>
      </c>
      <c r="O602" t="s">
        <v>129</v>
      </c>
      <c r="P602" t="s">
        <v>130</v>
      </c>
      <c r="Q602">
        <v>0</v>
      </c>
      <c r="R602">
        <v>64036</v>
      </c>
    </row>
    <row r="603" spans="1:18" x14ac:dyDescent="0.25">
      <c r="A603">
        <v>60000602</v>
      </c>
      <c r="B603">
        <v>55</v>
      </c>
      <c r="C603" t="s">
        <v>86</v>
      </c>
      <c r="D603" t="s">
        <v>88</v>
      </c>
      <c r="E603" t="s">
        <v>91</v>
      </c>
      <c r="F603" t="s">
        <v>103</v>
      </c>
      <c r="G603">
        <v>18</v>
      </c>
      <c r="H603" t="s">
        <v>132</v>
      </c>
      <c r="I603" t="s">
        <v>145</v>
      </c>
      <c r="J603" t="s">
        <v>21</v>
      </c>
      <c r="K603" t="s">
        <v>43</v>
      </c>
      <c r="L603" t="s">
        <v>128</v>
      </c>
      <c r="M603" t="s">
        <v>129</v>
      </c>
      <c r="N603" t="s">
        <v>130</v>
      </c>
      <c r="O603" t="s">
        <v>129</v>
      </c>
      <c r="P603" t="s">
        <v>130</v>
      </c>
      <c r="Q603">
        <v>0</v>
      </c>
      <c r="R603">
        <v>56531</v>
      </c>
    </row>
    <row r="604" spans="1:18" x14ac:dyDescent="0.25">
      <c r="A604">
        <v>60000603</v>
      </c>
      <c r="B604">
        <v>33</v>
      </c>
      <c r="C604" t="s">
        <v>85</v>
      </c>
      <c r="D604" t="s">
        <v>87</v>
      </c>
      <c r="E604" t="s">
        <v>94</v>
      </c>
      <c r="F604" t="s">
        <v>102</v>
      </c>
      <c r="G604">
        <v>18</v>
      </c>
      <c r="H604" t="s">
        <v>132</v>
      </c>
      <c r="I604" t="s">
        <v>140</v>
      </c>
      <c r="J604" t="s">
        <v>62</v>
      </c>
      <c r="K604" t="s">
        <v>17</v>
      </c>
      <c r="L604" t="s">
        <v>59</v>
      </c>
      <c r="M604" t="s">
        <v>129</v>
      </c>
      <c r="N604" t="s">
        <v>130</v>
      </c>
      <c r="O604" t="s">
        <v>130</v>
      </c>
      <c r="P604" t="s">
        <v>130</v>
      </c>
      <c r="Q604">
        <v>0</v>
      </c>
      <c r="R604">
        <v>75914</v>
      </c>
    </row>
    <row r="605" spans="1:18" x14ac:dyDescent="0.25">
      <c r="A605">
        <v>60000604</v>
      </c>
      <c r="B605">
        <v>51</v>
      </c>
      <c r="C605" t="s">
        <v>85</v>
      </c>
      <c r="D605" t="s">
        <v>87</v>
      </c>
      <c r="E605" t="s">
        <v>98</v>
      </c>
      <c r="F605" t="s">
        <v>104</v>
      </c>
      <c r="G605">
        <v>14</v>
      </c>
      <c r="H605" t="s">
        <v>132</v>
      </c>
      <c r="I605" t="s">
        <v>150</v>
      </c>
      <c r="J605" t="s">
        <v>12</v>
      </c>
      <c r="K605" t="s">
        <v>20</v>
      </c>
      <c r="L605" t="s">
        <v>128</v>
      </c>
      <c r="M605" t="s">
        <v>129</v>
      </c>
      <c r="N605" t="s">
        <v>129</v>
      </c>
      <c r="O605" t="s">
        <v>129</v>
      </c>
      <c r="P605" t="s">
        <v>129</v>
      </c>
      <c r="Q605">
        <v>4</v>
      </c>
      <c r="R605">
        <v>68867</v>
      </c>
    </row>
    <row r="606" spans="1:18" x14ac:dyDescent="0.25">
      <c r="A606">
        <v>60000605</v>
      </c>
      <c r="B606">
        <v>45</v>
      </c>
      <c r="C606" t="s">
        <v>86</v>
      </c>
      <c r="D606" t="s">
        <v>87</v>
      </c>
      <c r="E606" t="s">
        <v>98</v>
      </c>
      <c r="F606" t="s">
        <v>102</v>
      </c>
      <c r="G606">
        <v>14</v>
      </c>
      <c r="H606" t="s">
        <v>132</v>
      </c>
      <c r="I606" t="s">
        <v>139</v>
      </c>
      <c r="J606" t="s">
        <v>14</v>
      </c>
      <c r="K606" t="s">
        <v>11</v>
      </c>
      <c r="L606" t="s">
        <v>128</v>
      </c>
      <c r="M606" t="s">
        <v>129</v>
      </c>
      <c r="N606" t="s">
        <v>130</v>
      </c>
      <c r="O606" t="s">
        <v>129</v>
      </c>
      <c r="P606" t="s">
        <v>130</v>
      </c>
      <c r="Q606">
        <v>0</v>
      </c>
      <c r="R606">
        <v>68635</v>
      </c>
    </row>
    <row r="607" spans="1:18" x14ac:dyDescent="0.25">
      <c r="A607">
        <v>60000606</v>
      </c>
      <c r="B607">
        <v>49</v>
      </c>
      <c r="C607" t="s">
        <v>86</v>
      </c>
      <c r="D607" t="s">
        <v>88</v>
      </c>
      <c r="E607" t="s">
        <v>5</v>
      </c>
      <c r="F607" t="s">
        <v>102</v>
      </c>
      <c r="G607">
        <v>34</v>
      </c>
      <c r="H607" t="s">
        <v>111</v>
      </c>
      <c r="I607" t="s">
        <v>145</v>
      </c>
      <c r="J607" t="s">
        <v>62</v>
      </c>
      <c r="K607" t="s">
        <v>58</v>
      </c>
      <c r="L607" t="s">
        <v>128</v>
      </c>
      <c r="M607" t="s">
        <v>130</v>
      </c>
      <c r="N607" t="s">
        <v>130</v>
      </c>
      <c r="O607" t="s">
        <v>129</v>
      </c>
      <c r="P607" t="s">
        <v>129</v>
      </c>
      <c r="Q607">
        <v>3</v>
      </c>
      <c r="R607">
        <v>81611</v>
      </c>
    </row>
    <row r="608" spans="1:18" x14ac:dyDescent="0.25">
      <c r="A608">
        <v>60000607</v>
      </c>
      <c r="B608">
        <v>40</v>
      </c>
      <c r="C608" t="s">
        <v>85</v>
      </c>
      <c r="D608" t="s">
        <v>87</v>
      </c>
      <c r="E608" t="s">
        <v>95</v>
      </c>
      <c r="F608" t="s">
        <v>102</v>
      </c>
      <c r="G608">
        <v>33</v>
      </c>
      <c r="H608" t="s">
        <v>111</v>
      </c>
      <c r="I608" t="s">
        <v>55</v>
      </c>
      <c r="J608" t="s">
        <v>25</v>
      </c>
      <c r="K608" t="s">
        <v>57</v>
      </c>
      <c r="L608" t="s">
        <v>128</v>
      </c>
      <c r="M608" t="s">
        <v>130</v>
      </c>
      <c r="N608" t="s">
        <v>129</v>
      </c>
      <c r="O608" t="s">
        <v>130</v>
      </c>
      <c r="P608" t="s">
        <v>129</v>
      </c>
      <c r="Q608">
        <v>5</v>
      </c>
      <c r="R608">
        <v>48508</v>
      </c>
    </row>
    <row r="609" spans="1:18" x14ac:dyDescent="0.25">
      <c r="A609">
        <v>60000608</v>
      </c>
      <c r="B609">
        <v>29</v>
      </c>
      <c r="C609" t="s">
        <v>86</v>
      </c>
      <c r="D609" t="s">
        <v>88</v>
      </c>
      <c r="E609" t="s">
        <v>92</v>
      </c>
      <c r="F609" t="s">
        <v>102</v>
      </c>
      <c r="G609">
        <v>37</v>
      </c>
      <c r="H609" t="s">
        <v>111</v>
      </c>
      <c r="I609" t="s">
        <v>22</v>
      </c>
      <c r="J609" t="s">
        <v>53</v>
      </c>
      <c r="K609" t="s">
        <v>37</v>
      </c>
      <c r="L609" t="s">
        <v>128</v>
      </c>
      <c r="M609" t="s">
        <v>129</v>
      </c>
      <c r="N609" t="s">
        <v>130</v>
      </c>
      <c r="O609" t="s">
        <v>129</v>
      </c>
      <c r="P609" t="s">
        <v>130</v>
      </c>
      <c r="Q609">
        <v>0</v>
      </c>
      <c r="R609">
        <v>70933</v>
      </c>
    </row>
    <row r="610" spans="1:18" x14ac:dyDescent="0.25">
      <c r="A610">
        <v>60000609</v>
      </c>
      <c r="B610">
        <v>63</v>
      </c>
      <c r="C610" t="s">
        <v>86</v>
      </c>
      <c r="D610" t="s">
        <v>88</v>
      </c>
      <c r="E610" t="s">
        <v>95</v>
      </c>
      <c r="F610" t="s">
        <v>104</v>
      </c>
      <c r="G610">
        <v>25</v>
      </c>
      <c r="H610" t="s">
        <v>110</v>
      </c>
      <c r="I610" t="s">
        <v>143</v>
      </c>
      <c r="J610" t="s">
        <v>12</v>
      </c>
      <c r="K610" t="s">
        <v>72</v>
      </c>
      <c r="L610" t="s">
        <v>59</v>
      </c>
      <c r="M610" t="s">
        <v>130</v>
      </c>
      <c r="N610" t="s">
        <v>130</v>
      </c>
      <c r="O610" t="s">
        <v>129</v>
      </c>
      <c r="P610" t="s">
        <v>129</v>
      </c>
      <c r="Q610">
        <v>4</v>
      </c>
      <c r="R610">
        <v>48153</v>
      </c>
    </row>
    <row r="611" spans="1:18" x14ac:dyDescent="0.25">
      <c r="A611">
        <v>60000610</v>
      </c>
      <c r="B611">
        <v>42</v>
      </c>
      <c r="C611" t="s">
        <v>85</v>
      </c>
      <c r="D611" t="s">
        <v>87</v>
      </c>
      <c r="E611" t="s">
        <v>93</v>
      </c>
      <c r="F611" t="s">
        <v>102</v>
      </c>
      <c r="G611">
        <v>25</v>
      </c>
      <c r="H611" t="s">
        <v>110</v>
      </c>
      <c r="I611" t="s">
        <v>141</v>
      </c>
      <c r="J611" t="s">
        <v>32</v>
      </c>
      <c r="K611" t="s">
        <v>71</v>
      </c>
      <c r="L611" t="s">
        <v>128</v>
      </c>
      <c r="M611" t="s">
        <v>130</v>
      </c>
      <c r="N611" t="s">
        <v>130</v>
      </c>
      <c r="O611" t="s">
        <v>130</v>
      </c>
      <c r="P611" t="s">
        <v>130</v>
      </c>
      <c r="Q611">
        <v>0</v>
      </c>
      <c r="R611">
        <v>45766</v>
      </c>
    </row>
    <row r="612" spans="1:18" x14ac:dyDescent="0.25">
      <c r="A612">
        <v>60000611</v>
      </c>
      <c r="B612">
        <v>27</v>
      </c>
      <c r="C612" t="s">
        <v>85</v>
      </c>
      <c r="D612" t="s">
        <v>87</v>
      </c>
      <c r="E612" t="s">
        <v>94</v>
      </c>
      <c r="F612" t="s">
        <v>104</v>
      </c>
      <c r="G612">
        <v>12</v>
      </c>
      <c r="H612" t="s">
        <v>132</v>
      </c>
      <c r="I612" t="s">
        <v>143</v>
      </c>
      <c r="J612" t="s">
        <v>21</v>
      </c>
      <c r="K612" t="s">
        <v>60</v>
      </c>
      <c r="L612" t="s">
        <v>10</v>
      </c>
      <c r="M612" t="s">
        <v>129</v>
      </c>
      <c r="N612" t="s">
        <v>130</v>
      </c>
      <c r="O612" t="s">
        <v>129</v>
      </c>
      <c r="P612" t="s">
        <v>129</v>
      </c>
      <c r="Q612">
        <v>2</v>
      </c>
      <c r="R612">
        <v>28478</v>
      </c>
    </row>
    <row r="613" spans="1:18" x14ac:dyDescent="0.25">
      <c r="A613">
        <v>60000612</v>
      </c>
      <c r="B613">
        <v>64</v>
      </c>
      <c r="C613" t="s">
        <v>85</v>
      </c>
      <c r="D613" t="s">
        <v>87</v>
      </c>
      <c r="E613" t="s">
        <v>5</v>
      </c>
      <c r="F613" t="s">
        <v>102</v>
      </c>
      <c r="G613">
        <v>23</v>
      </c>
      <c r="H613" t="s">
        <v>109</v>
      </c>
      <c r="I613" t="s">
        <v>139</v>
      </c>
      <c r="J613" t="s">
        <v>18</v>
      </c>
      <c r="K613" t="s">
        <v>44</v>
      </c>
      <c r="L613" t="s">
        <v>128</v>
      </c>
      <c r="M613" t="s">
        <v>130</v>
      </c>
      <c r="N613" t="s">
        <v>129</v>
      </c>
      <c r="O613" t="s">
        <v>130</v>
      </c>
      <c r="P613" t="s">
        <v>129</v>
      </c>
      <c r="Q613">
        <v>5</v>
      </c>
      <c r="R613">
        <v>69741</v>
      </c>
    </row>
    <row r="614" spans="1:18" x14ac:dyDescent="0.25">
      <c r="A614">
        <v>60000613</v>
      </c>
      <c r="B614">
        <v>43</v>
      </c>
      <c r="C614" t="s">
        <v>86</v>
      </c>
      <c r="D614" t="s">
        <v>87</v>
      </c>
      <c r="E614" t="s">
        <v>98</v>
      </c>
      <c r="F614" t="s">
        <v>102</v>
      </c>
      <c r="G614">
        <v>33</v>
      </c>
      <c r="H614" t="s">
        <v>111</v>
      </c>
      <c r="I614" t="s">
        <v>142</v>
      </c>
      <c r="J614" t="s">
        <v>62</v>
      </c>
      <c r="K614" t="s">
        <v>29</v>
      </c>
      <c r="L614" t="s">
        <v>59</v>
      </c>
      <c r="M614" t="s">
        <v>129</v>
      </c>
      <c r="N614" t="s">
        <v>130</v>
      </c>
      <c r="O614" t="s">
        <v>130</v>
      </c>
      <c r="P614" t="s">
        <v>130</v>
      </c>
      <c r="Q614">
        <v>0</v>
      </c>
      <c r="R614">
        <v>58015</v>
      </c>
    </row>
    <row r="615" spans="1:18" x14ac:dyDescent="0.25">
      <c r="A615">
        <v>60000614</v>
      </c>
      <c r="B615">
        <v>31</v>
      </c>
      <c r="C615" t="s">
        <v>85</v>
      </c>
      <c r="D615" t="s">
        <v>88</v>
      </c>
      <c r="E615" t="s">
        <v>94</v>
      </c>
      <c r="F615" t="s">
        <v>104</v>
      </c>
      <c r="G615">
        <v>10</v>
      </c>
      <c r="H615" t="s">
        <v>108</v>
      </c>
      <c r="I615" t="s">
        <v>142</v>
      </c>
      <c r="J615" t="s">
        <v>16</v>
      </c>
      <c r="K615" t="s">
        <v>69</v>
      </c>
      <c r="L615" t="s">
        <v>128</v>
      </c>
      <c r="M615" t="s">
        <v>130</v>
      </c>
      <c r="N615" t="s">
        <v>130</v>
      </c>
      <c r="O615" t="s">
        <v>130</v>
      </c>
      <c r="P615" t="s">
        <v>129</v>
      </c>
      <c r="Q615">
        <v>6</v>
      </c>
      <c r="R615">
        <v>68263</v>
      </c>
    </row>
    <row r="616" spans="1:18" x14ac:dyDescent="0.25">
      <c r="A616">
        <v>60000615</v>
      </c>
      <c r="B616">
        <v>34</v>
      </c>
      <c r="C616" t="s">
        <v>86</v>
      </c>
      <c r="D616" t="s">
        <v>88</v>
      </c>
      <c r="E616" t="s">
        <v>91</v>
      </c>
      <c r="F616" t="s">
        <v>104</v>
      </c>
      <c r="G616">
        <v>23</v>
      </c>
      <c r="H616" t="s">
        <v>109</v>
      </c>
      <c r="I616" t="s">
        <v>22</v>
      </c>
      <c r="J616" t="s">
        <v>53</v>
      </c>
      <c r="K616" t="s">
        <v>74</v>
      </c>
      <c r="L616" t="s">
        <v>59</v>
      </c>
      <c r="M616" t="s">
        <v>130</v>
      </c>
      <c r="N616" t="s">
        <v>130</v>
      </c>
      <c r="O616" t="s">
        <v>129</v>
      </c>
      <c r="P616" t="s">
        <v>130</v>
      </c>
      <c r="Q616">
        <v>0</v>
      </c>
      <c r="R616">
        <v>34109</v>
      </c>
    </row>
    <row r="617" spans="1:18" x14ac:dyDescent="0.25">
      <c r="A617">
        <v>60000616</v>
      </c>
      <c r="B617">
        <v>61</v>
      </c>
      <c r="C617" t="s">
        <v>86</v>
      </c>
      <c r="D617" t="s">
        <v>87</v>
      </c>
      <c r="E617" t="s">
        <v>93</v>
      </c>
      <c r="F617" t="s">
        <v>103</v>
      </c>
      <c r="G617">
        <v>17</v>
      </c>
      <c r="H617" t="s">
        <v>132</v>
      </c>
      <c r="I617" t="s">
        <v>50</v>
      </c>
      <c r="J617" t="s">
        <v>21</v>
      </c>
      <c r="K617" t="s">
        <v>58</v>
      </c>
      <c r="L617" t="s">
        <v>10</v>
      </c>
      <c r="M617" t="s">
        <v>130</v>
      </c>
      <c r="N617" t="s">
        <v>129</v>
      </c>
      <c r="O617" t="s">
        <v>130</v>
      </c>
      <c r="P617" t="s">
        <v>129</v>
      </c>
      <c r="Q617">
        <v>3</v>
      </c>
      <c r="R617">
        <v>64964</v>
      </c>
    </row>
    <row r="618" spans="1:18" x14ac:dyDescent="0.25">
      <c r="A618">
        <v>60000617</v>
      </c>
      <c r="B618">
        <v>47</v>
      </c>
      <c r="C618" t="s">
        <v>85</v>
      </c>
      <c r="D618" t="s">
        <v>88</v>
      </c>
      <c r="E618" t="s">
        <v>93</v>
      </c>
      <c r="F618" t="s">
        <v>102</v>
      </c>
      <c r="G618">
        <v>22</v>
      </c>
      <c r="H618" t="s">
        <v>109</v>
      </c>
      <c r="I618" t="s">
        <v>148</v>
      </c>
      <c r="J618" t="s">
        <v>16</v>
      </c>
      <c r="K618" t="s">
        <v>19</v>
      </c>
      <c r="L618" t="s">
        <v>128</v>
      </c>
      <c r="M618" t="s">
        <v>130</v>
      </c>
      <c r="N618" t="s">
        <v>129</v>
      </c>
      <c r="O618" t="s">
        <v>129</v>
      </c>
      <c r="P618" t="s">
        <v>129</v>
      </c>
      <c r="Q618">
        <v>5</v>
      </c>
      <c r="R618">
        <v>30063</v>
      </c>
    </row>
    <row r="619" spans="1:18" x14ac:dyDescent="0.25">
      <c r="A619">
        <v>60000618</v>
      </c>
      <c r="B619">
        <v>34</v>
      </c>
      <c r="C619" t="s">
        <v>86</v>
      </c>
      <c r="D619" t="s">
        <v>87</v>
      </c>
      <c r="E619" t="s">
        <v>93</v>
      </c>
      <c r="F619" t="s">
        <v>104</v>
      </c>
      <c r="G619">
        <v>21</v>
      </c>
      <c r="H619" t="s">
        <v>109</v>
      </c>
      <c r="I619" t="s">
        <v>146</v>
      </c>
      <c r="J619" t="s">
        <v>21</v>
      </c>
      <c r="K619" t="s">
        <v>54</v>
      </c>
      <c r="L619" t="s">
        <v>59</v>
      </c>
      <c r="M619" t="s">
        <v>130</v>
      </c>
      <c r="N619" t="s">
        <v>129</v>
      </c>
      <c r="O619" t="s">
        <v>130</v>
      </c>
      <c r="P619" t="s">
        <v>129</v>
      </c>
      <c r="Q619">
        <v>5</v>
      </c>
      <c r="R619">
        <v>59660</v>
      </c>
    </row>
    <row r="620" spans="1:18" x14ac:dyDescent="0.25">
      <c r="A620">
        <v>60000619</v>
      </c>
      <c r="B620">
        <v>49</v>
      </c>
      <c r="C620" t="s">
        <v>86</v>
      </c>
      <c r="D620" t="s">
        <v>88</v>
      </c>
      <c r="E620" t="s">
        <v>94</v>
      </c>
      <c r="F620" t="s">
        <v>104</v>
      </c>
      <c r="G620">
        <v>20</v>
      </c>
      <c r="H620" t="s">
        <v>109</v>
      </c>
      <c r="I620" t="s">
        <v>141</v>
      </c>
      <c r="J620" t="s">
        <v>18</v>
      </c>
      <c r="K620" t="s">
        <v>64</v>
      </c>
      <c r="L620" t="s">
        <v>10</v>
      </c>
      <c r="M620" t="s">
        <v>129</v>
      </c>
      <c r="N620" t="s">
        <v>130</v>
      </c>
      <c r="O620" t="s">
        <v>130</v>
      </c>
      <c r="P620" t="s">
        <v>130</v>
      </c>
      <c r="Q620">
        <v>0</v>
      </c>
      <c r="R620">
        <v>31515</v>
      </c>
    </row>
    <row r="621" spans="1:18" x14ac:dyDescent="0.25">
      <c r="A621">
        <v>60000620</v>
      </c>
      <c r="B621">
        <v>52</v>
      </c>
      <c r="C621" t="s">
        <v>85</v>
      </c>
      <c r="D621" t="s">
        <v>87</v>
      </c>
      <c r="E621" t="s">
        <v>91</v>
      </c>
      <c r="F621" t="s">
        <v>103</v>
      </c>
      <c r="G621">
        <v>25</v>
      </c>
      <c r="H621" t="s">
        <v>110</v>
      </c>
      <c r="I621" t="s">
        <v>143</v>
      </c>
      <c r="J621" t="s">
        <v>32</v>
      </c>
      <c r="K621" t="s">
        <v>46</v>
      </c>
      <c r="L621" t="s">
        <v>59</v>
      </c>
      <c r="M621" t="s">
        <v>130</v>
      </c>
      <c r="N621" t="s">
        <v>130</v>
      </c>
      <c r="O621" t="s">
        <v>130</v>
      </c>
      <c r="P621" t="s">
        <v>130</v>
      </c>
      <c r="Q621">
        <v>0</v>
      </c>
      <c r="R621">
        <v>78579</v>
      </c>
    </row>
    <row r="622" spans="1:18" x14ac:dyDescent="0.25">
      <c r="A622">
        <v>60000621</v>
      </c>
      <c r="B622">
        <v>36</v>
      </c>
      <c r="C622" t="s">
        <v>86</v>
      </c>
      <c r="D622" t="s">
        <v>87</v>
      </c>
      <c r="E622" t="s">
        <v>95</v>
      </c>
      <c r="F622" t="s">
        <v>104</v>
      </c>
      <c r="G622">
        <v>10</v>
      </c>
      <c r="H622" t="s">
        <v>108</v>
      </c>
      <c r="I622" t="s">
        <v>149</v>
      </c>
      <c r="J622" t="s">
        <v>23</v>
      </c>
      <c r="K622" t="s">
        <v>26</v>
      </c>
      <c r="L622" t="s">
        <v>59</v>
      </c>
      <c r="M622" t="s">
        <v>129</v>
      </c>
      <c r="N622" t="s">
        <v>129</v>
      </c>
      <c r="O622" t="s">
        <v>130</v>
      </c>
      <c r="P622" t="s">
        <v>130</v>
      </c>
      <c r="Q622">
        <v>0</v>
      </c>
      <c r="R622">
        <v>29705</v>
      </c>
    </row>
    <row r="623" spans="1:18" x14ac:dyDescent="0.25">
      <c r="A623">
        <v>60000622</v>
      </c>
      <c r="B623">
        <v>22</v>
      </c>
      <c r="C623" t="s">
        <v>86</v>
      </c>
      <c r="D623" t="s">
        <v>88</v>
      </c>
      <c r="E623" t="s">
        <v>97</v>
      </c>
      <c r="F623" t="s">
        <v>104</v>
      </c>
      <c r="G623">
        <v>25</v>
      </c>
      <c r="H623" t="s">
        <v>110</v>
      </c>
      <c r="I623" t="s">
        <v>148</v>
      </c>
      <c r="J623" t="s">
        <v>12</v>
      </c>
      <c r="K623" t="s">
        <v>26</v>
      </c>
      <c r="L623" t="s">
        <v>10</v>
      </c>
      <c r="M623" t="s">
        <v>130</v>
      </c>
      <c r="N623" t="s">
        <v>129</v>
      </c>
      <c r="O623" t="s">
        <v>130</v>
      </c>
      <c r="P623" t="s">
        <v>130</v>
      </c>
      <c r="Q623">
        <v>0</v>
      </c>
      <c r="R623">
        <v>51214</v>
      </c>
    </row>
    <row r="624" spans="1:18" x14ac:dyDescent="0.25">
      <c r="A624">
        <v>60000623</v>
      </c>
      <c r="B624">
        <v>28</v>
      </c>
      <c r="C624" t="s">
        <v>85</v>
      </c>
      <c r="D624" t="s">
        <v>88</v>
      </c>
      <c r="E624" t="s">
        <v>98</v>
      </c>
      <c r="F624" t="s">
        <v>104</v>
      </c>
      <c r="G624">
        <v>25</v>
      </c>
      <c r="H624" t="s">
        <v>110</v>
      </c>
      <c r="I624" t="s">
        <v>146</v>
      </c>
      <c r="J624" t="s">
        <v>53</v>
      </c>
      <c r="K624" t="s">
        <v>71</v>
      </c>
      <c r="L624" t="s">
        <v>128</v>
      </c>
      <c r="M624" t="s">
        <v>130</v>
      </c>
      <c r="N624" t="s">
        <v>130</v>
      </c>
      <c r="O624" t="s">
        <v>130</v>
      </c>
      <c r="P624" t="s">
        <v>130</v>
      </c>
      <c r="Q624">
        <v>0</v>
      </c>
      <c r="R624">
        <v>57784</v>
      </c>
    </row>
    <row r="625" spans="1:18" x14ac:dyDescent="0.25">
      <c r="A625">
        <v>60000624</v>
      </c>
      <c r="B625">
        <v>56</v>
      </c>
      <c r="C625" t="s">
        <v>86</v>
      </c>
      <c r="D625" t="s">
        <v>88</v>
      </c>
      <c r="E625" t="s">
        <v>94</v>
      </c>
      <c r="F625" t="s">
        <v>103</v>
      </c>
      <c r="G625">
        <v>37</v>
      </c>
      <c r="H625" t="s">
        <v>111</v>
      </c>
      <c r="I625" t="s">
        <v>145</v>
      </c>
      <c r="J625" t="s">
        <v>16</v>
      </c>
      <c r="K625" t="s">
        <v>35</v>
      </c>
      <c r="L625" t="s">
        <v>59</v>
      </c>
      <c r="M625" t="s">
        <v>130</v>
      </c>
      <c r="N625" t="s">
        <v>130</v>
      </c>
      <c r="O625" t="s">
        <v>130</v>
      </c>
      <c r="P625" t="s">
        <v>129</v>
      </c>
      <c r="Q625">
        <v>0</v>
      </c>
      <c r="R625">
        <v>73339</v>
      </c>
    </row>
    <row r="626" spans="1:18" x14ac:dyDescent="0.25">
      <c r="A626">
        <v>60000625</v>
      </c>
      <c r="B626">
        <v>32</v>
      </c>
      <c r="C626" t="s">
        <v>85</v>
      </c>
      <c r="D626" t="s">
        <v>87</v>
      </c>
      <c r="E626" t="s">
        <v>5</v>
      </c>
      <c r="F626" t="s">
        <v>102</v>
      </c>
      <c r="G626">
        <v>34</v>
      </c>
      <c r="H626" t="s">
        <v>111</v>
      </c>
      <c r="I626" t="s">
        <v>143</v>
      </c>
      <c r="J626" t="s">
        <v>14</v>
      </c>
      <c r="K626" t="s">
        <v>29</v>
      </c>
      <c r="L626" t="s">
        <v>59</v>
      </c>
      <c r="M626" t="s">
        <v>129</v>
      </c>
      <c r="N626" t="s">
        <v>129</v>
      </c>
      <c r="O626" t="s">
        <v>129</v>
      </c>
      <c r="P626" t="s">
        <v>129</v>
      </c>
      <c r="Q626">
        <v>4</v>
      </c>
      <c r="R626">
        <v>41052</v>
      </c>
    </row>
    <row r="627" spans="1:18" x14ac:dyDescent="0.25">
      <c r="A627">
        <v>60000626</v>
      </c>
      <c r="B627">
        <v>62</v>
      </c>
      <c r="C627" t="s">
        <v>85</v>
      </c>
      <c r="D627" t="s">
        <v>87</v>
      </c>
      <c r="E627" t="s">
        <v>93</v>
      </c>
      <c r="F627" t="s">
        <v>103</v>
      </c>
      <c r="G627">
        <v>24</v>
      </c>
      <c r="H627" t="s">
        <v>109</v>
      </c>
      <c r="I627" t="s">
        <v>55</v>
      </c>
      <c r="J627" t="s">
        <v>14</v>
      </c>
      <c r="K627" t="s">
        <v>58</v>
      </c>
      <c r="L627" t="s">
        <v>10</v>
      </c>
      <c r="M627" t="s">
        <v>130</v>
      </c>
      <c r="N627" t="s">
        <v>130</v>
      </c>
      <c r="O627" t="s">
        <v>129</v>
      </c>
      <c r="P627" t="s">
        <v>129</v>
      </c>
      <c r="Q627">
        <v>4</v>
      </c>
      <c r="R627">
        <v>75161</v>
      </c>
    </row>
    <row r="628" spans="1:18" x14ac:dyDescent="0.25">
      <c r="A628">
        <v>60000627</v>
      </c>
      <c r="B628">
        <v>52</v>
      </c>
      <c r="C628" t="s">
        <v>86</v>
      </c>
      <c r="D628" t="s">
        <v>87</v>
      </c>
      <c r="E628" t="s">
        <v>95</v>
      </c>
      <c r="F628" t="s">
        <v>102</v>
      </c>
      <c r="G628">
        <v>19</v>
      </c>
      <c r="H628" t="s">
        <v>109</v>
      </c>
      <c r="I628" t="s">
        <v>55</v>
      </c>
      <c r="J628" t="s">
        <v>14</v>
      </c>
      <c r="K628" t="s">
        <v>52</v>
      </c>
      <c r="L628" t="s">
        <v>10</v>
      </c>
      <c r="M628" t="s">
        <v>130</v>
      </c>
      <c r="N628" t="s">
        <v>129</v>
      </c>
      <c r="O628" t="s">
        <v>129</v>
      </c>
      <c r="P628" t="s">
        <v>129</v>
      </c>
      <c r="Q628">
        <v>7</v>
      </c>
      <c r="R628">
        <v>69835</v>
      </c>
    </row>
    <row r="629" spans="1:18" x14ac:dyDescent="0.25">
      <c r="A629">
        <v>60000628</v>
      </c>
      <c r="B629">
        <v>30</v>
      </c>
      <c r="C629" t="s">
        <v>86</v>
      </c>
      <c r="D629" t="s">
        <v>87</v>
      </c>
      <c r="E629" t="s">
        <v>100</v>
      </c>
      <c r="F629" t="s">
        <v>102</v>
      </c>
      <c r="G629">
        <v>11</v>
      </c>
      <c r="H629" t="s">
        <v>108</v>
      </c>
      <c r="I629" t="s">
        <v>147</v>
      </c>
      <c r="J629" t="s">
        <v>12</v>
      </c>
      <c r="K629" t="s">
        <v>43</v>
      </c>
      <c r="L629" t="s">
        <v>59</v>
      </c>
      <c r="M629" t="s">
        <v>130</v>
      </c>
      <c r="N629" t="s">
        <v>129</v>
      </c>
      <c r="O629" t="s">
        <v>129</v>
      </c>
      <c r="P629" t="s">
        <v>130</v>
      </c>
      <c r="Q629">
        <v>0</v>
      </c>
      <c r="R629">
        <v>47676</v>
      </c>
    </row>
    <row r="630" spans="1:18" x14ac:dyDescent="0.25">
      <c r="A630">
        <v>60000629</v>
      </c>
      <c r="B630">
        <v>58</v>
      </c>
      <c r="C630" t="s">
        <v>85</v>
      </c>
      <c r="D630" t="s">
        <v>87</v>
      </c>
      <c r="E630" t="s">
        <v>95</v>
      </c>
      <c r="F630" t="s">
        <v>103</v>
      </c>
      <c r="G630">
        <v>24</v>
      </c>
      <c r="H630" t="s">
        <v>109</v>
      </c>
      <c r="I630" t="s">
        <v>11</v>
      </c>
      <c r="J630" t="s">
        <v>14</v>
      </c>
      <c r="K630" t="s">
        <v>66</v>
      </c>
      <c r="L630" t="s">
        <v>10</v>
      </c>
      <c r="M630" t="s">
        <v>129</v>
      </c>
      <c r="N630" t="s">
        <v>129</v>
      </c>
      <c r="O630" t="s">
        <v>130</v>
      </c>
      <c r="P630" t="s">
        <v>129</v>
      </c>
      <c r="Q630">
        <v>0</v>
      </c>
      <c r="R630">
        <v>74278</v>
      </c>
    </row>
    <row r="631" spans="1:18" x14ac:dyDescent="0.25">
      <c r="A631">
        <v>60000630</v>
      </c>
      <c r="B631">
        <v>56</v>
      </c>
      <c r="C631" t="s">
        <v>85</v>
      </c>
      <c r="D631" t="s">
        <v>88</v>
      </c>
      <c r="E631" t="s">
        <v>93</v>
      </c>
      <c r="F631" t="s">
        <v>104</v>
      </c>
      <c r="G631">
        <v>37</v>
      </c>
      <c r="H631" t="s">
        <v>111</v>
      </c>
      <c r="I631" t="s">
        <v>149</v>
      </c>
      <c r="J631" t="s">
        <v>9</v>
      </c>
      <c r="K631" t="s">
        <v>42</v>
      </c>
      <c r="L631" t="s">
        <v>59</v>
      </c>
      <c r="M631" t="s">
        <v>130</v>
      </c>
      <c r="N631" t="s">
        <v>130</v>
      </c>
      <c r="O631" t="s">
        <v>130</v>
      </c>
      <c r="P631" t="s">
        <v>129</v>
      </c>
      <c r="Q631">
        <v>3</v>
      </c>
      <c r="R631">
        <v>43875</v>
      </c>
    </row>
    <row r="632" spans="1:18" x14ac:dyDescent="0.25">
      <c r="A632">
        <v>60000631</v>
      </c>
      <c r="B632">
        <v>27</v>
      </c>
      <c r="C632" t="s">
        <v>85</v>
      </c>
      <c r="D632" t="s">
        <v>88</v>
      </c>
      <c r="E632" t="s">
        <v>92</v>
      </c>
      <c r="F632" t="s">
        <v>102</v>
      </c>
      <c r="G632">
        <v>37</v>
      </c>
      <c r="H632" t="s">
        <v>111</v>
      </c>
      <c r="I632" t="s">
        <v>149</v>
      </c>
      <c r="J632" t="s">
        <v>21</v>
      </c>
      <c r="K632" t="s">
        <v>11</v>
      </c>
      <c r="L632" t="s">
        <v>59</v>
      </c>
      <c r="M632" t="s">
        <v>129</v>
      </c>
      <c r="N632" t="s">
        <v>129</v>
      </c>
      <c r="O632" t="s">
        <v>130</v>
      </c>
      <c r="P632" t="s">
        <v>129</v>
      </c>
      <c r="Q632">
        <v>6</v>
      </c>
      <c r="R632">
        <v>43891</v>
      </c>
    </row>
    <row r="633" spans="1:18" x14ac:dyDescent="0.25">
      <c r="A633">
        <v>60000632</v>
      </c>
      <c r="B633">
        <v>58</v>
      </c>
      <c r="C633" t="s">
        <v>86</v>
      </c>
      <c r="D633" t="s">
        <v>87</v>
      </c>
      <c r="E633" t="s">
        <v>93</v>
      </c>
      <c r="F633" t="s">
        <v>103</v>
      </c>
      <c r="G633">
        <v>23</v>
      </c>
      <c r="H633" t="s">
        <v>109</v>
      </c>
      <c r="I633" t="s">
        <v>149</v>
      </c>
      <c r="J633" t="s">
        <v>18</v>
      </c>
      <c r="K633" t="s">
        <v>27</v>
      </c>
      <c r="L633" t="s">
        <v>59</v>
      </c>
      <c r="M633" t="s">
        <v>130</v>
      </c>
      <c r="N633" t="s">
        <v>130</v>
      </c>
      <c r="O633" t="s">
        <v>130</v>
      </c>
      <c r="P633" t="s">
        <v>130</v>
      </c>
      <c r="Q633">
        <v>0</v>
      </c>
      <c r="R633">
        <v>55861</v>
      </c>
    </row>
    <row r="634" spans="1:18" x14ac:dyDescent="0.25">
      <c r="A634">
        <v>60000633</v>
      </c>
      <c r="B634">
        <v>25</v>
      </c>
      <c r="C634" t="s">
        <v>86</v>
      </c>
      <c r="D634" t="s">
        <v>87</v>
      </c>
      <c r="E634" t="s">
        <v>92</v>
      </c>
      <c r="F634" t="s">
        <v>103</v>
      </c>
      <c r="G634">
        <v>36</v>
      </c>
      <c r="H634" t="s">
        <v>111</v>
      </c>
      <c r="I634" t="s">
        <v>150</v>
      </c>
      <c r="J634" t="s">
        <v>14</v>
      </c>
      <c r="K634" t="s">
        <v>31</v>
      </c>
      <c r="L634" t="s">
        <v>10</v>
      </c>
      <c r="M634" t="s">
        <v>129</v>
      </c>
      <c r="N634" t="s">
        <v>130</v>
      </c>
      <c r="O634" t="s">
        <v>129</v>
      </c>
      <c r="P634" t="s">
        <v>129</v>
      </c>
      <c r="Q634">
        <v>3</v>
      </c>
      <c r="R634">
        <v>74572</v>
      </c>
    </row>
    <row r="635" spans="1:18" x14ac:dyDescent="0.25">
      <c r="A635">
        <v>60000634</v>
      </c>
      <c r="B635">
        <v>28</v>
      </c>
      <c r="C635" t="s">
        <v>85</v>
      </c>
      <c r="D635" t="s">
        <v>88</v>
      </c>
      <c r="E635" t="s">
        <v>95</v>
      </c>
      <c r="F635" t="s">
        <v>104</v>
      </c>
      <c r="G635">
        <v>15</v>
      </c>
      <c r="H635" t="s">
        <v>132</v>
      </c>
      <c r="I635" t="s">
        <v>139</v>
      </c>
      <c r="J635" t="s">
        <v>62</v>
      </c>
      <c r="K635" t="s">
        <v>29</v>
      </c>
      <c r="L635" t="s">
        <v>10</v>
      </c>
      <c r="M635" t="s">
        <v>130</v>
      </c>
      <c r="N635" t="s">
        <v>129</v>
      </c>
      <c r="O635" t="s">
        <v>129</v>
      </c>
      <c r="P635" t="s">
        <v>130</v>
      </c>
      <c r="Q635">
        <v>0</v>
      </c>
      <c r="R635">
        <v>75919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P72"/>
  <sheetViews>
    <sheetView workbookViewId="0">
      <selection activeCell="G67" sqref="G67"/>
    </sheetView>
  </sheetViews>
  <sheetFormatPr baseColWidth="10" defaultColWidth="9.140625" defaultRowHeight="15" x14ac:dyDescent="0.25"/>
  <cols>
    <col min="1" max="1" width="17.5703125" bestFit="1" customWidth="1"/>
    <col min="2" max="2" width="10.7109375" bestFit="1" customWidth="1"/>
    <col min="3" max="3" width="7.140625" bestFit="1" customWidth="1"/>
    <col min="4" max="4" width="12.5703125" bestFit="1" customWidth="1"/>
    <col min="5" max="5" width="10.7109375" bestFit="1" customWidth="1"/>
    <col min="6" max="6" width="4" bestFit="1" customWidth="1"/>
    <col min="7" max="7" width="17.5703125" bestFit="1" customWidth="1"/>
    <col min="8" max="8" width="22.42578125" bestFit="1" customWidth="1"/>
    <col min="9" max="9" width="7.140625" bestFit="1" customWidth="1"/>
    <col min="10" max="10" width="12.5703125" bestFit="1" customWidth="1"/>
    <col min="11" max="11" width="8.42578125" bestFit="1" customWidth="1"/>
    <col min="12" max="12" width="17.5703125" bestFit="1" customWidth="1"/>
    <col min="13" max="13" width="22.42578125" bestFit="1" customWidth="1"/>
    <col min="14" max="14" width="7.140625" bestFit="1" customWidth="1"/>
    <col min="15" max="15" width="12.5703125" bestFit="1" customWidth="1"/>
    <col min="16" max="16" width="11.28515625" bestFit="1" customWidth="1"/>
  </cols>
  <sheetData>
    <row r="3" spans="1:16" x14ac:dyDescent="0.25">
      <c r="A3" t="s">
        <v>135</v>
      </c>
    </row>
    <row r="4" spans="1:16" x14ac:dyDescent="0.25">
      <c r="A4" s="26">
        <v>1.9053627760252365</v>
      </c>
    </row>
    <row r="7" spans="1:16" x14ac:dyDescent="0.25">
      <c r="A7" t="s">
        <v>136</v>
      </c>
    </row>
    <row r="8" spans="1:16" x14ac:dyDescent="0.25">
      <c r="A8" s="27">
        <v>54353.271293375394</v>
      </c>
      <c r="C8" s="28">
        <f>GETPIVOTDATA("Monto de la consulta",$A$7)</f>
        <v>54353.271293375394</v>
      </c>
    </row>
    <row r="12" spans="1:16" x14ac:dyDescent="0.25">
      <c r="A12" s="20" t="s">
        <v>137</v>
      </c>
      <c r="B12" s="20" t="s">
        <v>159</v>
      </c>
      <c r="G12" s="20" t="s">
        <v>137</v>
      </c>
      <c r="H12" s="20" t="s">
        <v>159</v>
      </c>
      <c r="L12" s="20" t="s">
        <v>137</v>
      </c>
      <c r="M12" s="20" t="s">
        <v>159</v>
      </c>
    </row>
    <row r="13" spans="1:16" x14ac:dyDescent="0.25">
      <c r="A13" s="20" t="s">
        <v>157</v>
      </c>
      <c r="B13" t="s">
        <v>130</v>
      </c>
      <c r="C13" t="s">
        <v>129</v>
      </c>
      <c r="D13" t="s">
        <v>158</v>
      </c>
      <c r="G13" s="20" t="s">
        <v>157</v>
      </c>
      <c r="H13" t="s">
        <v>130</v>
      </c>
      <c r="I13" t="s">
        <v>129</v>
      </c>
      <c r="J13" t="s">
        <v>158</v>
      </c>
      <c r="K13" s="20"/>
      <c r="L13" s="20" t="s">
        <v>157</v>
      </c>
      <c r="M13" t="s">
        <v>130</v>
      </c>
      <c r="N13" t="s">
        <v>129</v>
      </c>
      <c r="O13" t="s">
        <v>158</v>
      </c>
      <c r="P13" s="20"/>
    </row>
    <row r="14" spans="1:16" x14ac:dyDescent="0.25">
      <c r="A14" s="19" t="s">
        <v>10</v>
      </c>
      <c r="B14" s="22">
        <v>0.81401617250673852</v>
      </c>
      <c r="C14" s="22">
        <v>0.18598382749326145</v>
      </c>
      <c r="D14" s="22">
        <v>1</v>
      </c>
      <c r="G14" s="19" t="s">
        <v>10</v>
      </c>
      <c r="H14" s="22">
        <v>0.84366576819407013</v>
      </c>
      <c r="I14" s="22">
        <v>0.15633423180592992</v>
      </c>
      <c r="J14" s="22">
        <v>1</v>
      </c>
      <c r="L14" s="19" t="s">
        <v>10</v>
      </c>
      <c r="M14" s="22">
        <v>0.81401617250673852</v>
      </c>
      <c r="N14" s="22">
        <v>0.18598382749326145</v>
      </c>
      <c r="O14" s="22">
        <v>1</v>
      </c>
    </row>
    <row r="15" spans="1:16" x14ac:dyDescent="0.25">
      <c r="A15" s="19" t="s">
        <v>128</v>
      </c>
      <c r="B15" s="22">
        <v>0.51282051282051277</v>
      </c>
      <c r="C15" s="22">
        <v>0.48717948717948717</v>
      </c>
      <c r="D15" s="22">
        <v>1</v>
      </c>
      <c r="G15" s="19" t="s">
        <v>128</v>
      </c>
      <c r="H15" s="22">
        <v>0.54700854700854706</v>
      </c>
      <c r="I15" s="22">
        <v>0.45299145299145299</v>
      </c>
      <c r="J15" s="22">
        <v>1</v>
      </c>
      <c r="L15" s="19" t="s">
        <v>128</v>
      </c>
      <c r="M15" s="22">
        <v>0.45299145299145299</v>
      </c>
      <c r="N15" s="22">
        <v>0.54700854700854706</v>
      </c>
      <c r="O15" s="22">
        <v>1</v>
      </c>
    </row>
    <row r="16" spans="1:16" x14ac:dyDescent="0.25">
      <c r="A16" s="19" t="s">
        <v>59</v>
      </c>
      <c r="B16" s="22">
        <v>0.45205479452054792</v>
      </c>
      <c r="C16" s="22">
        <v>0.54794520547945202</v>
      </c>
      <c r="D16" s="22">
        <v>1</v>
      </c>
      <c r="G16" s="19" t="s">
        <v>59</v>
      </c>
      <c r="H16" s="22">
        <v>0.50684931506849318</v>
      </c>
      <c r="I16" s="22">
        <v>0.49315068493150682</v>
      </c>
      <c r="J16" s="22">
        <v>1</v>
      </c>
      <c r="L16" s="19" t="s">
        <v>59</v>
      </c>
      <c r="M16" s="22">
        <v>0.4863013698630137</v>
      </c>
      <c r="N16" s="22">
        <v>0.51369863013698636</v>
      </c>
      <c r="O16" s="22">
        <v>1</v>
      </c>
    </row>
    <row r="17" spans="1:15" x14ac:dyDescent="0.25">
      <c r="A17" s="19" t="s">
        <v>158</v>
      </c>
      <c r="B17" s="22">
        <v>0.67507886435331232</v>
      </c>
      <c r="C17" s="22">
        <v>0.32492113564668768</v>
      </c>
      <c r="D17" s="22">
        <v>1</v>
      </c>
      <c r="G17" s="19" t="s">
        <v>158</v>
      </c>
      <c r="H17" s="22">
        <v>0.71135646687697163</v>
      </c>
      <c r="I17" s="22">
        <v>0.28864353312302837</v>
      </c>
      <c r="J17" s="22">
        <v>1</v>
      </c>
      <c r="L17" s="19" t="s">
        <v>158</v>
      </c>
      <c r="M17" s="22">
        <v>0.67192429022082023</v>
      </c>
      <c r="N17" s="22">
        <v>0.32807570977917982</v>
      </c>
      <c r="O17" s="22">
        <v>1</v>
      </c>
    </row>
    <row r="19" spans="1:15" x14ac:dyDescent="0.25">
      <c r="B19" t="s">
        <v>81</v>
      </c>
      <c r="C19" t="s">
        <v>131</v>
      </c>
      <c r="D19" t="s">
        <v>138</v>
      </c>
    </row>
    <row r="20" spans="1:15" x14ac:dyDescent="0.25">
      <c r="A20" s="19" t="s">
        <v>10</v>
      </c>
      <c r="B20" s="25">
        <f>GETPIVOTDATA("Id",$A$12,"Instancia de atención","CCSS","Laboratorio","Si")</f>
        <v>0.18598382749326145</v>
      </c>
      <c r="C20" s="25">
        <f>GETPIVOTDATA("Id",$G$12,"Instancia de atención","CCSS","Rayos ""X""","Si")</f>
        <v>0.15633423180592992</v>
      </c>
      <c r="D20" s="25">
        <f>GETPIVOTDATA("Id",$L$12,"Instancia de atención","CCSS","Consulta adicional","Si")</f>
        <v>0.18598382749326145</v>
      </c>
    </row>
    <row r="21" spans="1:15" x14ac:dyDescent="0.25">
      <c r="A21" s="19" t="s">
        <v>128</v>
      </c>
      <c r="B21" s="25">
        <f>GETPIVOTDATA("Id",$A$12,"Instancia de atención","Clínica Bíblica","Laboratorio","Si")</f>
        <v>0.48717948717948717</v>
      </c>
      <c r="C21" s="25">
        <f>GETPIVOTDATA("Id",$G$12,"Instancia de atención","Clínica Bíblica","Rayos ""X""","Si")</f>
        <v>0.45299145299145299</v>
      </c>
      <c r="D21" s="25">
        <f>GETPIVOTDATA("Id",$L$12,"Instancia de atención","Clínica Bíblica","Consulta adicional","Si")</f>
        <v>0.54700854700854706</v>
      </c>
    </row>
    <row r="22" spans="1:15" x14ac:dyDescent="0.25">
      <c r="A22" s="19" t="s">
        <v>59</v>
      </c>
      <c r="B22" s="25">
        <f>GETPIVOTDATA("Id",$A$12,"Instancia de atención","INS","Laboratorio","Si")</f>
        <v>0.54794520547945202</v>
      </c>
      <c r="C22" s="25">
        <f>GETPIVOTDATA("Id",$G$12,"Instancia de atención","INS","Rayos ""X""","Si")</f>
        <v>0.49315068493150682</v>
      </c>
      <c r="D22" s="25">
        <f>GETPIVOTDATA("Id",$L$12,"Instancia de atención","INS","Consulta adicional","Si")</f>
        <v>0.51369863013698636</v>
      </c>
    </row>
    <row r="24" spans="1:15" x14ac:dyDescent="0.25">
      <c r="A24" s="19"/>
      <c r="D24" s="24"/>
    </row>
    <row r="25" spans="1:15" x14ac:dyDescent="0.25">
      <c r="A25" s="20" t="s">
        <v>157</v>
      </c>
      <c r="B25" t="s">
        <v>137</v>
      </c>
    </row>
    <row r="26" spans="1:15" x14ac:dyDescent="0.25">
      <c r="A26" s="19" t="s">
        <v>87</v>
      </c>
      <c r="B26" s="22">
        <v>0.5362776025236593</v>
      </c>
    </row>
    <row r="27" spans="1:15" x14ac:dyDescent="0.25">
      <c r="A27" s="19" t="s">
        <v>88</v>
      </c>
      <c r="B27" s="22">
        <v>0.4637223974763407</v>
      </c>
    </row>
    <row r="28" spans="1:15" x14ac:dyDescent="0.25">
      <c r="A28" s="19" t="s">
        <v>158</v>
      </c>
      <c r="B28" s="22">
        <v>1</v>
      </c>
    </row>
    <row r="31" spans="1:15" x14ac:dyDescent="0.25">
      <c r="A31" s="20" t="s">
        <v>157</v>
      </c>
      <c r="B31" t="s">
        <v>137</v>
      </c>
      <c r="C31" s="20"/>
      <c r="D31" s="20"/>
    </row>
    <row r="32" spans="1:15" x14ac:dyDescent="0.25">
      <c r="A32" s="19" t="s">
        <v>151</v>
      </c>
      <c r="B32" s="22">
        <v>0.24132492113564669</v>
      </c>
    </row>
    <row r="33" spans="1:5" x14ac:dyDescent="0.25">
      <c r="A33" s="19" t="s">
        <v>152</v>
      </c>
      <c r="B33" s="22">
        <v>0.19716088328075709</v>
      </c>
    </row>
    <row r="34" spans="1:5" x14ac:dyDescent="0.25">
      <c r="A34" s="19" t="s">
        <v>153</v>
      </c>
      <c r="B34" s="22">
        <v>0.22397476340694006</v>
      </c>
    </row>
    <row r="35" spans="1:5" x14ac:dyDescent="0.25">
      <c r="A35" s="19" t="s">
        <v>154</v>
      </c>
      <c r="B35" s="22">
        <v>0.22397476340694006</v>
      </c>
    </row>
    <row r="36" spans="1:5" x14ac:dyDescent="0.25">
      <c r="A36" s="19" t="s">
        <v>155</v>
      </c>
      <c r="B36" s="22">
        <v>0.11356466876971609</v>
      </c>
    </row>
    <row r="37" spans="1:5" x14ac:dyDescent="0.25">
      <c r="A37" s="19" t="s">
        <v>158</v>
      </c>
      <c r="B37" s="22">
        <v>1</v>
      </c>
    </row>
    <row r="40" spans="1:5" x14ac:dyDescent="0.25">
      <c r="A40" s="20" t="s">
        <v>157</v>
      </c>
      <c r="B40" t="s">
        <v>137</v>
      </c>
    </row>
    <row r="41" spans="1:5" x14ac:dyDescent="0.25">
      <c r="A41" s="19" t="s">
        <v>85</v>
      </c>
      <c r="B41" s="22">
        <v>0.49211356466876971</v>
      </c>
    </row>
    <row r="42" spans="1:5" x14ac:dyDescent="0.25">
      <c r="A42" s="19" t="s">
        <v>86</v>
      </c>
      <c r="B42" s="22">
        <v>0.50788643533123023</v>
      </c>
    </row>
    <row r="43" spans="1:5" x14ac:dyDescent="0.25">
      <c r="A43" s="19" t="s">
        <v>158</v>
      </c>
      <c r="B43" s="22">
        <v>1</v>
      </c>
    </row>
    <row r="46" spans="1:5" x14ac:dyDescent="0.25">
      <c r="A46" s="20" t="s">
        <v>157</v>
      </c>
      <c r="B46" t="s">
        <v>137</v>
      </c>
    </row>
    <row r="47" spans="1:5" x14ac:dyDescent="0.25">
      <c r="A47" s="19" t="s">
        <v>108</v>
      </c>
      <c r="B47" s="22">
        <v>6.4668769716088328E-2</v>
      </c>
      <c r="D47" s="19" t="s">
        <v>132</v>
      </c>
      <c r="E47" s="25">
        <f>GETPIVOTDATA("Id",$A$46,"Condición","Delgado(a)")</f>
        <v>0.24132492113564669</v>
      </c>
    </row>
    <row r="48" spans="1:5" x14ac:dyDescent="0.25">
      <c r="A48" s="19" t="s">
        <v>110</v>
      </c>
      <c r="B48" s="22">
        <v>0.22712933753943218</v>
      </c>
      <c r="D48" s="19" t="s">
        <v>108</v>
      </c>
      <c r="E48" s="25">
        <f>GETPIVOTDATA("Id",$A$46,"Condición","Atletas")</f>
        <v>6.4668769716088328E-2</v>
      </c>
    </row>
    <row r="49" spans="1:8" x14ac:dyDescent="0.25">
      <c r="A49" s="19" t="s">
        <v>132</v>
      </c>
      <c r="B49" s="22">
        <v>0.24132492113564669</v>
      </c>
      <c r="D49" s="19" t="s">
        <v>109</v>
      </c>
      <c r="E49" s="25">
        <f>GETPIVOTDATA("Id",$A$46,"Condición","Normal")</f>
        <v>0.19400630914826497</v>
      </c>
    </row>
    <row r="50" spans="1:8" x14ac:dyDescent="0.25">
      <c r="A50" s="19" t="s">
        <v>109</v>
      </c>
      <c r="B50" s="22">
        <v>0.19400630914826497</v>
      </c>
      <c r="D50" s="19" t="s">
        <v>110</v>
      </c>
      <c r="E50" s="25">
        <f>GETPIVOTDATA("Id",$A$46,"Condición","Corpulento(a)")</f>
        <v>0.22712933753943218</v>
      </c>
    </row>
    <row r="51" spans="1:8" x14ac:dyDescent="0.25">
      <c r="A51" s="19" t="s">
        <v>111</v>
      </c>
      <c r="B51" s="22">
        <v>0.27287066246056785</v>
      </c>
      <c r="D51" s="19" t="s">
        <v>111</v>
      </c>
      <c r="E51" s="25">
        <f>GETPIVOTDATA("Id",$A$46,"Condición","Obeso(a)")</f>
        <v>0.27287066246056785</v>
      </c>
    </row>
    <row r="52" spans="1:8" x14ac:dyDescent="0.25">
      <c r="A52" s="19" t="s">
        <v>158</v>
      </c>
      <c r="B52" s="22">
        <v>1</v>
      </c>
    </row>
    <row r="55" spans="1:8" x14ac:dyDescent="0.25">
      <c r="A55" t="s">
        <v>156</v>
      </c>
    </row>
    <row r="56" spans="1:8" x14ac:dyDescent="0.25">
      <c r="A56" s="21">
        <v>24.260252365930601</v>
      </c>
      <c r="C56" s="25">
        <f>GETPIVOTDATA("% grasa",$A$55)/100</f>
        <v>0.24260252365930601</v>
      </c>
      <c r="D56">
        <f>C56/0.4</f>
        <v>0.60650630914826498</v>
      </c>
      <c r="E56">
        <f>1-D56</f>
        <v>0.39349369085173502</v>
      </c>
    </row>
    <row r="59" spans="1:8" x14ac:dyDescent="0.25">
      <c r="A59" t="s">
        <v>137</v>
      </c>
    </row>
    <row r="60" spans="1:8" x14ac:dyDescent="0.25">
      <c r="A60" s="21">
        <v>634</v>
      </c>
    </row>
    <row r="63" spans="1:8" x14ac:dyDescent="0.25">
      <c r="A63" s="20" t="s">
        <v>157</v>
      </c>
      <c r="B63" t="s">
        <v>137</v>
      </c>
      <c r="D63" s="20" t="s">
        <v>157</v>
      </c>
      <c r="E63" t="s">
        <v>137</v>
      </c>
      <c r="G63" s="20" t="s">
        <v>157</v>
      </c>
      <c r="H63" t="s">
        <v>137</v>
      </c>
    </row>
    <row r="64" spans="1:8" x14ac:dyDescent="0.25">
      <c r="A64" s="19" t="s">
        <v>145</v>
      </c>
      <c r="B64" s="21">
        <v>41</v>
      </c>
      <c r="D64" s="19" t="s">
        <v>12</v>
      </c>
      <c r="E64" s="21">
        <v>53</v>
      </c>
      <c r="G64" s="19" t="s">
        <v>66</v>
      </c>
      <c r="H64" s="21">
        <v>17</v>
      </c>
    </row>
    <row r="65" spans="1:8" x14ac:dyDescent="0.25">
      <c r="A65" s="19" t="s">
        <v>143</v>
      </c>
      <c r="B65" s="21">
        <v>42</v>
      </c>
      <c r="D65" s="19" t="s">
        <v>25</v>
      </c>
      <c r="E65" s="21">
        <v>54</v>
      </c>
      <c r="G65" s="19" t="s">
        <v>49</v>
      </c>
      <c r="H65" s="21">
        <v>17</v>
      </c>
    </row>
    <row r="66" spans="1:8" x14ac:dyDescent="0.25">
      <c r="A66" s="19" t="s">
        <v>141</v>
      </c>
      <c r="B66" s="21">
        <v>42</v>
      </c>
      <c r="D66" s="19" t="s">
        <v>14</v>
      </c>
      <c r="E66" s="21">
        <v>57</v>
      </c>
      <c r="G66" s="19" t="s">
        <v>51</v>
      </c>
      <c r="H66" s="21">
        <v>17</v>
      </c>
    </row>
    <row r="67" spans="1:8" x14ac:dyDescent="0.25">
      <c r="A67" s="19" t="s">
        <v>139</v>
      </c>
      <c r="B67" s="21">
        <v>44</v>
      </c>
      <c r="D67" s="19" t="s">
        <v>23</v>
      </c>
      <c r="E67" s="21">
        <v>59</v>
      </c>
      <c r="G67" s="19" t="s">
        <v>27</v>
      </c>
      <c r="H67" s="21">
        <v>17</v>
      </c>
    </row>
    <row r="68" spans="1:8" x14ac:dyDescent="0.25">
      <c r="A68" s="19" t="s">
        <v>146</v>
      </c>
      <c r="B68" s="21">
        <v>46</v>
      </c>
      <c r="D68" s="19" t="s">
        <v>53</v>
      </c>
      <c r="E68" s="21">
        <v>61</v>
      </c>
      <c r="G68" s="19" t="s">
        <v>67</v>
      </c>
      <c r="H68" s="21">
        <v>18</v>
      </c>
    </row>
    <row r="69" spans="1:8" x14ac:dyDescent="0.25">
      <c r="A69" s="19" t="s">
        <v>158</v>
      </c>
      <c r="B69" s="21">
        <v>215</v>
      </c>
      <c r="D69" s="19" t="s">
        <v>158</v>
      </c>
      <c r="E69" s="21">
        <v>284</v>
      </c>
      <c r="G69" s="19" t="s">
        <v>13</v>
      </c>
      <c r="H69" s="21">
        <v>18</v>
      </c>
    </row>
    <row r="70" spans="1:8" x14ac:dyDescent="0.25">
      <c r="G70" s="19" t="s">
        <v>72</v>
      </c>
      <c r="H70" s="21">
        <v>18</v>
      </c>
    </row>
    <row r="71" spans="1:8" x14ac:dyDescent="0.25">
      <c r="G71" s="19" t="s">
        <v>61</v>
      </c>
      <c r="H71" s="21">
        <v>19</v>
      </c>
    </row>
    <row r="72" spans="1:8" x14ac:dyDescent="0.25">
      <c r="G72" s="19" t="s">
        <v>158</v>
      </c>
      <c r="H72" s="21">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zoomScaleNormal="100" workbookViewId="0">
      <selection activeCell="AB13" sqref="AB13"/>
    </sheetView>
  </sheetViews>
  <sheetFormatPr baseColWidth="10" defaultColWidth="9.140625" defaultRowHeight="15" x14ac:dyDescent="0.25"/>
  <cols>
    <col min="1" max="16384" width="9.140625" style="2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Junio</vt:lpstr>
      <vt:lpstr>Codificación de las variables</vt:lpstr>
      <vt:lpstr>BD</vt:lpstr>
      <vt:lpstr>Tablas</vt:lpstr>
      <vt:lpstr>dsh_H&amp;W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 Morelli</dc:creator>
  <cp:lastModifiedBy>Oscar Centeno Mora</cp:lastModifiedBy>
  <dcterms:created xsi:type="dcterms:W3CDTF">2018-11-13T19:44:46Z</dcterms:created>
  <dcterms:modified xsi:type="dcterms:W3CDTF">2022-05-15T02:49:33Z</dcterms:modified>
</cp:coreProperties>
</file>