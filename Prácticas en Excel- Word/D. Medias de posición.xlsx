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ursos\UCIMED Estadística\Prácticas en Excel- Word\"/>
    </mc:Choice>
  </mc:AlternateContent>
  <xr:revisionPtr revIDLastSave="0" documentId="13_ncr:1_{35905F40-654F-440E-816E-DEE2C422BA24}" xr6:coauthVersionLast="47" xr6:coauthVersionMax="47" xr10:uidLastSave="{00000000-0000-0000-0000-000000000000}"/>
  <bookViews>
    <workbookView xWindow="-5295" yWindow="-21720" windowWidth="38640" windowHeight="21240" activeTab="1" xr2:uid="{00000000-000D-0000-FFFF-FFFF00000000}"/>
  </bookViews>
  <sheets>
    <sheet name="Medidas de posición en Excel" sheetId="1" r:id="rId1"/>
    <sheet name="Correc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 a="1"/>
  <c r="G6" i="2" s="1"/>
  <c r="F11" i="2" l="1"/>
  <c r="F10" i="2"/>
  <c r="F9" i="2"/>
  <c r="F8" i="2"/>
  <c r="F7" i="2"/>
  <c r="F6" i="2"/>
  <c r="F5" i="2"/>
  <c r="F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<sst xmlns="http://schemas.openxmlformats.org/spreadsheetml/2006/main" count="44" uniqueCount="22">
  <si>
    <t>Salario en colones</t>
  </si>
  <si>
    <t>Estadístico</t>
  </si>
  <si>
    <t>Función</t>
  </si>
  <si>
    <t>Valor</t>
  </si>
  <si>
    <t>Mínimo</t>
  </si>
  <si>
    <t>"=MIN()"</t>
  </si>
  <si>
    <t>Máximo</t>
  </si>
  <si>
    <t>"=MAX()"</t>
  </si>
  <si>
    <t>Moda</t>
  </si>
  <si>
    <t>"=MODA.UNO()"</t>
  </si>
  <si>
    <t>Mediana</t>
  </si>
  <si>
    <t>"=MEDIANA()"</t>
  </si>
  <si>
    <t>Promedio</t>
  </si>
  <si>
    <t>"=promedio()"</t>
  </si>
  <si>
    <t>Percentil 25</t>
  </si>
  <si>
    <t>"=PERCENTIL.EXC(B3:B116;0,25)"</t>
  </si>
  <si>
    <t>Percentil 75</t>
  </si>
  <si>
    <t>"=PERCENTIL.EXC()"</t>
  </si>
  <si>
    <t>Percentil 90</t>
  </si>
  <si>
    <t>;</t>
  </si>
  <si>
    <t>,</t>
  </si>
  <si>
    <t>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</si>
</sst>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91CDE24A-0D5D-46FD-8E5A-6DB8EEA56F9B}"/>
            </a:ext>
          </a:extLst>
        </xdr:cNvPr>
        <xdr:cNvSpPr/>
      </xdr:nvSpPr>
      <xdr:spPr>
        <a:xfrm>
          <a:off x="7086600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116DABA7-4C86-477E-871E-7D8F995ABA00}"/>
            </a:ext>
          </a:extLst>
        </xdr:cNvPr>
        <xdr:cNvSpPr/>
      </xdr:nvSpPr>
      <xdr:spPr>
        <a:xfrm>
          <a:off x="7086600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5"/>
  <sheetViews>
    <sheetView zoomScale="161" zoomScaleNormal="161" workbookViewId="0">
      <selection activeCell="F9" sqref="F9:F10"/>
    </sheetView>
  </sheetViews>
  <sheetFormatPr baseColWidth="10" defaultColWidth="11.453125" defaultRowHeight="14.5" x14ac:dyDescent="0.35"/>
  <cols>
    <col min="2" max="2" width="18" customWidth="1"/>
    <col min="5" max="5" width="29.81640625" customWidth="1"/>
    <col min="6" max="6" width="17.453125" customWidth="1"/>
  </cols>
  <sheetData>
    <row r="2" spans="2:6" x14ac:dyDescent="0.35">
      <c r="B2" s="1" t="s">
        <v>0</v>
      </c>
    </row>
    <row r="3" spans="2:6" x14ac:dyDescent="0.35">
      <c r="B3" s="2">
        <v>953236</v>
      </c>
      <c r="D3" s="3" t="s">
        <v>1</v>
      </c>
      <c r="E3" s="1" t="s">
        <v>2</v>
      </c>
      <c r="F3" s="1" t="s">
        <v>3</v>
      </c>
    </row>
    <row r="4" spans="2:6" x14ac:dyDescent="0.35">
      <c r="B4" s="2">
        <v>953236</v>
      </c>
      <c r="D4" s="4" t="s">
        <v>4</v>
      </c>
      <c r="E4" s="5" t="s">
        <v>5</v>
      </c>
      <c r="F4" s="5"/>
    </row>
    <row r="5" spans="2:6" x14ac:dyDescent="0.35">
      <c r="B5" s="2">
        <v>733598</v>
      </c>
      <c r="D5" t="s">
        <v>6</v>
      </c>
      <c r="E5" s="2" t="s">
        <v>7</v>
      </c>
      <c r="F5" s="2"/>
    </row>
    <row r="6" spans="2:6" x14ac:dyDescent="0.35">
      <c r="B6" s="2">
        <v>956490</v>
      </c>
      <c r="D6" t="s">
        <v>8</v>
      </c>
      <c r="E6" s="2" t="s">
        <v>9</v>
      </c>
      <c r="F6" s="2"/>
    </row>
    <row r="7" spans="2:6" x14ac:dyDescent="0.35">
      <c r="B7" s="2">
        <v>714616</v>
      </c>
      <c r="D7" t="s">
        <v>10</v>
      </c>
      <c r="E7" s="2" t="s">
        <v>11</v>
      </c>
      <c r="F7" s="2"/>
    </row>
    <row r="8" spans="2:6" x14ac:dyDescent="0.35">
      <c r="B8" s="2">
        <v>306405</v>
      </c>
      <c r="D8" t="s">
        <v>12</v>
      </c>
      <c r="E8" s="2" t="s">
        <v>13</v>
      </c>
      <c r="F8" s="8"/>
    </row>
    <row r="9" spans="2:6" x14ac:dyDescent="0.35">
      <c r="B9" s="2">
        <v>918018</v>
      </c>
      <c r="D9" t="s">
        <v>14</v>
      </c>
      <c r="E9" s="2" t="s">
        <v>15</v>
      </c>
      <c r="F9" s="2"/>
    </row>
    <row r="10" spans="2:6" x14ac:dyDescent="0.35">
      <c r="B10" s="2">
        <v>953236</v>
      </c>
      <c r="D10" t="s">
        <v>16</v>
      </c>
      <c r="E10" s="2" t="s">
        <v>17</v>
      </c>
      <c r="F10" s="2"/>
    </row>
    <row r="11" spans="2:6" x14ac:dyDescent="0.35">
      <c r="B11" s="2">
        <v>554124</v>
      </c>
      <c r="D11" s="6" t="s">
        <v>18</v>
      </c>
      <c r="E11" s="7" t="s">
        <v>17</v>
      </c>
      <c r="F11" s="7"/>
    </row>
    <row r="12" spans="2:6" x14ac:dyDescent="0.35">
      <c r="B12" s="2">
        <v>665602</v>
      </c>
    </row>
    <row r="13" spans="2:6" x14ac:dyDescent="0.35">
      <c r="B13" s="2">
        <v>676766</v>
      </c>
    </row>
    <row r="14" spans="2:6" x14ac:dyDescent="0.35">
      <c r="B14" s="2">
        <v>877506</v>
      </c>
    </row>
    <row r="15" spans="2:6" x14ac:dyDescent="0.35">
      <c r="B15" s="2">
        <v>481414</v>
      </c>
    </row>
    <row r="16" spans="2:6" x14ac:dyDescent="0.35">
      <c r="B16" s="2">
        <v>443941</v>
      </c>
    </row>
    <row r="17" spans="2:8" x14ac:dyDescent="0.35">
      <c r="B17" s="2">
        <v>520411</v>
      </c>
    </row>
    <row r="18" spans="2:8" x14ac:dyDescent="0.35">
      <c r="B18" s="2">
        <v>992690</v>
      </c>
    </row>
    <row r="19" spans="2:8" x14ac:dyDescent="0.35">
      <c r="B19" s="2">
        <v>743325</v>
      </c>
    </row>
    <row r="20" spans="2:8" x14ac:dyDescent="0.35">
      <c r="B20" s="2">
        <v>321284</v>
      </c>
    </row>
    <row r="21" spans="2:8" x14ac:dyDescent="0.35">
      <c r="B21" s="2">
        <v>347760</v>
      </c>
      <c r="E21" s="1" t="s">
        <v>0</v>
      </c>
      <c r="G21" t="s">
        <v>19</v>
      </c>
      <c r="H21">
        <v>0.25</v>
      </c>
    </row>
    <row r="22" spans="2:8" x14ac:dyDescent="0.35">
      <c r="B22" s="2">
        <v>625696</v>
      </c>
      <c r="E22" s="2">
        <v>306405</v>
      </c>
      <c r="G22" t="s">
        <v>20</v>
      </c>
      <c r="H22" t="s">
        <v>21</v>
      </c>
    </row>
    <row r="23" spans="2:8" x14ac:dyDescent="0.35">
      <c r="B23" s="2">
        <v>593223</v>
      </c>
      <c r="E23" s="2">
        <v>312332</v>
      </c>
    </row>
    <row r="24" spans="2:8" x14ac:dyDescent="0.35">
      <c r="B24" s="2">
        <v>998372</v>
      </c>
      <c r="E24" s="2">
        <v>319684</v>
      </c>
    </row>
    <row r="25" spans="2:8" x14ac:dyDescent="0.35">
      <c r="B25" s="2">
        <v>896730</v>
      </c>
      <c r="E25" s="2">
        <v>321284</v>
      </c>
    </row>
    <row r="26" spans="2:8" x14ac:dyDescent="0.35">
      <c r="B26" s="2">
        <v>450578</v>
      </c>
      <c r="E26" s="2">
        <v>326985</v>
      </c>
    </row>
    <row r="27" spans="2:8" x14ac:dyDescent="0.35">
      <c r="B27" s="2">
        <v>398368</v>
      </c>
      <c r="E27" s="2">
        <v>332648</v>
      </c>
    </row>
    <row r="28" spans="2:8" x14ac:dyDescent="0.35">
      <c r="B28" s="2">
        <v>678784</v>
      </c>
      <c r="E28" s="9">
        <v>339252</v>
      </c>
    </row>
    <row r="29" spans="2:8" x14ac:dyDescent="0.35">
      <c r="B29" s="2">
        <v>421688</v>
      </c>
      <c r="E29" s="2">
        <v>343653</v>
      </c>
    </row>
    <row r="30" spans="2:8" x14ac:dyDescent="0.35">
      <c r="B30" s="2">
        <v>496392</v>
      </c>
      <c r="E30" s="2">
        <v>347760</v>
      </c>
    </row>
    <row r="31" spans="2:8" x14ac:dyDescent="0.35">
      <c r="B31" s="2">
        <v>593195</v>
      </c>
      <c r="E31" s="2">
        <v>361904</v>
      </c>
    </row>
    <row r="32" spans="2:8" x14ac:dyDescent="0.35">
      <c r="B32" s="2">
        <v>312332</v>
      </c>
      <c r="E32" s="2">
        <v>364498</v>
      </c>
    </row>
    <row r="33" spans="2:5" x14ac:dyDescent="0.35">
      <c r="B33" s="2">
        <v>831600</v>
      </c>
      <c r="E33" s="2">
        <v>372120</v>
      </c>
    </row>
    <row r="34" spans="2:5" x14ac:dyDescent="0.35">
      <c r="B34" s="2">
        <v>372120</v>
      </c>
      <c r="E34" s="2">
        <v>381536</v>
      </c>
    </row>
    <row r="35" spans="2:5" x14ac:dyDescent="0.35">
      <c r="B35" s="2">
        <v>918730</v>
      </c>
      <c r="E35" s="2">
        <v>390398</v>
      </c>
    </row>
    <row r="36" spans="2:5" x14ac:dyDescent="0.35">
      <c r="B36" s="2">
        <v>618349</v>
      </c>
      <c r="E36" s="2">
        <v>398368</v>
      </c>
    </row>
    <row r="37" spans="2:5" x14ac:dyDescent="0.35">
      <c r="B37" s="2">
        <v>981207</v>
      </c>
      <c r="E37" s="2">
        <v>408494</v>
      </c>
    </row>
    <row r="38" spans="2:5" x14ac:dyDescent="0.35">
      <c r="B38" s="2">
        <v>974133</v>
      </c>
      <c r="E38" s="2">
        <v>411619</v>
      </c>
    </row>
    <row r="39" spans="2:5" x14ac:dyDescent="0.35">
      <c r="B39" s="2">
        <v>737731</v>
      </c>
      <c r="E39" s="2">
        <v>420029</v>
      </c>
    </row>
    <row r="40" spans="2:5" x14ac:dyDescent="0.35">
      <c r="B40" s="2">
        <v>739963</v>
      </c>
      <c r="E40" s="2">
        <v>420789</v>
      </c>
    </row>
    <row r="41" spans="2:5" x14ac:dyDescent="0.35">
      <c r="B41" s="2">
        <v>851382</v>
      </c>
      <c r="E41" s="2">
        <v>421174</v>
      </c>
    </row>
    <row r="42" spans="2:5" x14ac:dyDescent="0.35">
      <c r="B42" s="2">
        <v>856408</v>
      </c>
      <c r="E42" s="2">
        <v>421688</v>
      </c>
    </row>
    <row r="43" spans="2:5" x14ac:dyDescent="0.35">
      <c r="B43" s="2">
        <v>426550</v>
      </c>
      <c r="E43" s="2">
        <v>426550</v>
      </c>
    </row>
    <row r="44" spans="2:5" x14ac:dyDescent="0.35">
      <c r="B44" s="2">
        <v>835304</v>
      </c>
      <c r="E44" s="2">
        <v>443941</v>
      </c>
    </row>
    <row r="45" spans="2:5" x14ac:dyDescent="0.35">
      <c r="B45" s="2">
        <v>555779</v>
      </c>
      <c r="E45" s="2">
        <v>447406</v>
      </c>
    </row>
    <row r="46" spans="2:5" x14ac:dyDescent="0.35">
      <c r="B46" s="2">
        <v>644103</v>
      </c>
      <c r="E46" s="2">
        <v>450578</v>
      </c>
    </row>
    <row r="47" spans="2:5" x14ac:dyDescent="0.35">
      <c r="B47" s="2">
        <v>874864</v>
      </c>
      <c r="E47" s="2">
        <v>451821</v>
      </c>
    </row>
    <row r="48" spans="2:5" x14ac:dyDescent="0.35">
      <c r="B48" s="2">
        <v>965103</v>
      </c>
      <c r="E48" s="2">
        <v>453217</v>
      </c>
    </row>
    <row r="49" spans="2:5" x14ac:dyDescent="0.35">
      <c r="B49" s="2">
        <v>963909</v>
      </c>
      <c r="E49" s="2">
        <v>458773</v>
      </c>
    </row>
    <row r="50" spans="2:5" x14ac:dyDescent="0.35">
      <c r="B50" s="2">
        <v>862386</v>
      </c>
      <c r="E50" s="2">
        <v>459478</v>
      </c>
    </row>
    <row r="51" spans="2:5" x14ac:dyDescent="0.35">
      <c r="B51" s="2">
        <v>872006</v>
      </c>
      <c r="E51" s="2">
        <v>459782</v>
      </c>
    </row>
    <row r="52" spans="2:5" x14ac:dyDescent="0.35">
      <c r="B52" s="2">
        <v>736053</v>
      </c>
      <c r="E52" s="2">
        <v>460176</v>
      </c>
    </row>
    <row r="53" spans="2:5" x14ac:dyDescent="0.35">
      <c r="B53" s="2">
        <v>420789</v>
      </c>
      <c r="E53" s="2">
        <v>468754</v>
      </c>
    </row>
    <row r="54" spans="2:5" x14ac:dyDescent="0.35">
      <c r="B54" s="2">
        <v>814181</v>
      </c>
      <c r="E54" s="2">
        <v>481414</v>
      </c>
    </row>
    <row r="55" spans="2:5" x14ac:dyDescent="0.35">
      <c r="B55" s="2">
        <v>451821</v>
      </c>
      <c r="E55" s="2">
        <v>495351</v>
      </c>
    </row>
    <row r="56" spans="2:5" x14ac:dyDescent="0.35">
      <c r="B56" s="2">
        <v>630575</v>
      </c>
      <c r="E56" s="2">
        <v>496392</v>
      </c>
    </row>
    <row r="57" spans="2:5" x14ac:dyDescent="0.35">
      <c r="B57" s="2">
        <v>579264</v>
      </c>
      <c r="E57" s="2">
        <v>497365</v>
      </c>
    </row>
    <row r="58" spans="2:5" x14ac:dyDescent="0.35">
      <c r="B58" s="2">
        <v>591462</v>
      </c>
      <c r="E58" s="2">
        <v>505200</v>
      </c>
    </row>
    <row r="59" spans="2:5" x14ac:dyDescent="0.35">
      <c r="B59" s="2">
        <v>505200</v>
      </c>
      <c r="E59" s="2">
        <v>520411</v>
      </c>
    </row>
    <row r="60" spans="2:5" x14ac:dyDescent="0.35">
      <c r="B60" s="2">
        <v>795841</v>
      </c>
      <c r="E60" s="2">
        <v>532224</v>
      </c>
    </row>
    <row r="61" spans="2:5" x14ac:dyDescent="0.35">
      <c r="B61" s="2">
        <v>895310</v>
      </c>
      <c r="E61" s="2">
        <v>540002</v>
      </c>
    </row>
    <row r="62" spans="2:5" x14ac:dyDescent="0.35">
      <c r="B62" s="2">
        <v>903622</v>
      </c>
      <c r="E62" s="2">
        <v>541185</v>
      </c>
    </row>
    <row r="63" spans="2:5" x14ac:dyDescent="0.35">
      <c r="B63" s="2">
        <v>918565</v>
      </c>
      <c r="E63" s="2">
        <v>554124</v>
      </c>
    </row>
    <row r="64" spans="2:5" x14ac:dyDescent="0.35">
      <c r="B64" s="2">
        <v>421174</v>
      </c>
      <c r="E64" s="2">
        <v>555779</v>
      </c>
    </row>
    <row r="65" spans="2:5" x14ac:dyDescent="0.35">
      <c r="B65" s="2">
        <v>676964</v>
      </c>
      <c r="E65" s="2">
        <v>561177</v>
      </c>
    </row>
    <row r="66" spans="2:5" x14ac:dyDescent="0.35">
      <c r="B66" s="2">
        <v>679986</v>
      </c>
      <c r="E66" s="2">
        <v>579264</v>
      </c>
    </row>
    <row r="67" spans="2:5" x14ac:dyDescent="0.35">
      <c r="B67" s="2">
        <v>792468</v>
      </c>
      <c r="E67" s="2">
        <v>591462</v>
      </c>
    </row>
    <row r="68" spans="2:5" x14ac:dyDescent="0.35">
      <c r="B68" s="2">
        <v>453217</v>
      </c>
      <c r="E68" s="2">
        <v>593195</v>
      </c>
    </row>
    <row r="69" spans="2:5" x14ac:dyDescent="0.35">
      <c r="B69" s="2">
        <v>729770</v>
      </c>
      <c r="E69" s="2">
        <v>593223</v>
      </c>
    </row>
    <row r="70" spans="2:5" x14ac:dyDescent="0.35">
      <c r="B70" s="2">
        <v>822047</v>
      </c>
      <c r="E70" s="2">
        <v>608068</v>
      </c>
    </row>
    <row r="71" spans="2:5" x14ac:dyDescent="0.35">
      <c r="B71" s="2">
        <v>343653</v>
      </c>
      <c r="E71" s="2">
        <v>618349</v>
      </c>
    </row>
    <row r="72" spans="2:5" x14ac:dyDescent="0.35">
      <c r="B72" s="2">
        <v>364498</v>
      </c>
      <c r="E72" s="2">
        <v>625696</v>
      </c>
    </row>
    <row r="73" spans="2:5" x14ac:dyDescent="0.35">
      <c r="B73" s="2">
        <v>893656</v>
      </c>
      <c r="E73" s="2">
        <v>630575</v>
      </c>
    </row>
    <row r="74" spans="2:5" x14ac:dyDescent="0.35">
      <c r="B74" s="2">
        <v>319684</v>
      </c>
      <c r="E74" s="2">
        <v>637999</v>
      </c>
    </row>
    <row r="75" spans="2:5" x14ac:dyDescent="0.35">
      <c r="B75" s="2">
        <v>408494</v>
      </c>
      <c r="E75" s="2">
        <v>644103</v>
      </c>
    </row>
    <row r="76" spans="2:5" x14ac:dyDescent="0.35">
      <c r="B76" s="2">
        <v>468754</v>
      </c>
      <c r="E76" s="2">
        <v>662176</v>
      </c>
    </row>
    <row r="77" spans="2:5" x14ac:dyDescent="0.35">
      <c r="B77" s="2">
        <v>381536</v>
      </c>
      <c r="E77" s="2">
        <v>665602</v>
      </c>
    </row>
    <row r="78" spans="2:5" x14ac:dyDescent="0.35">
      <c r="B78" s="2">
        <v>459478</v>
      </c>
      <c r="E78" s="2">
        <v>672428</v>
      </c>
    </row>
    <row r="79" spans="2:5" x14ac:dyDescent="0.35">
      <c r="B79" s="2">
        <v>764926</v>
      </c>
      <c r="E79" s="2">
        <v>676766</v>
      </c>
    </row>
    <row r="80" spans="2:5" x14ac:dyDescent="0.35">
      <c r="B80" s="2">
        <v>745680</v>
      </c>
      <c r="E80" s="2">
        <v>676964</v>
      </c>
    </row>
    <row r="81" spans="2:5" x14ac:dyDescent="0.35">
      <c r="B81" s="2">
        <v>898588</v>
      </c>
      <c r="E81" s="2">
        <v>678784</v>
      </c>
    </row>
    <row r="82" spans="2:5" x14ac:dyDescent="0.35">
      <c r="B82" s="2">
        <v>946799</v>
      </c>
      <c r="E82" s="2">
        <v>679986</v>
      </c>
    </row>
    <row r="83" spans="2:5" x14ac:dyDescent="0.35">
      <c r="B83" s="2">
        <v>458773</v>
      </c>
      <c r="E83" s="2">
        <v>700047</v>
      </c>
    </row>
    <row r="84" spans="2:5" x14ac:dyDescent="0.35">
      <c r="B84" s="2">
        <v>447406</v>
      </c>
      <c r="E84" s="2">
        <v>702734</v>
      </c>
    </row>
    <row r="85" spans="2:5" x14ac:dyDescent="0.35">
      <c r="B85" s="2">
        <v>459782</v>
      </c>
      <c r="E85" s="2">
        <v>714616</v>
      </c>
    </row>
    <row r="86" spans="2:5" x14ac:dyDescent="0.35">
      <c r="B86" s="2">
        <v>985538</v>
      </c>
      <c r="E86" s="2">
        <v>729770</v>
      </c>
    </row>
    <row r="87" spans="2:5" x14ac:dyDescent="0.35">
      <c r="B87" s="2">
        <v>833719</v>
      </c>
      <c r="E87" s="2">
        <v>733598</v>
      </c>
    </row>
    <row r="88" spans="2:5" x14ac:dyDescent="0.35">
      <c r="B88" s="2">
        <v>361904</v>
      </c>
      <c r="E88" s="2">
        <v>736053</v>
      </c>
    </row>
    <row r="89" spans="2:5" x14ac:dyDescent="0.35">
      <c r="B89" s="2">
        <v>910644</v>
      </c>
      <c r="E89" s="2">
        <v>737731</v>
      </c>
    </row>
    <row r="90" spans="2:5" x14ac:dyDescent="0.35">
      <c r="B90" s="2">
        <v>967336</v>
      </c>
      <c r="E90" s="2">
        <v>739963</v>
      </c>
    </row>
    <row r="91" spans="2:5" x14ac:dyDescent="0.35">
      <c r="B91" s="2">
        <v>420029</v>
      </c>
      <c r="E91" s="2">
        <v>742349</v>
      </c>
    </row>
    <row r="92" spans="2:5" x14ac:dyDescent="0.35">
      <c r="B92" s="2">
        <v>390398</v>
      </c>
      <c r="E92" s="2">
        <v>743325</v>
      </c>
    </row>
    <row r="93" spans="2:5" x14ac:dyDescent="0.35">
      <c r="B93" s="2">
        <v>637999</v>
      </c>
      <c r="E93" s="2">
        <v>745680</v>
      </c>
    </row>
    <row r="94" spans="2:5" x14ac:dyDescent="0.35">
      <c r="B94" s="2">
        <v>411619</v>
      </c>
      <c r="E94" s="2">
        <v>753426</v>
      </c>
    </row>
    <row r="95" spans="2:5" x14ac:dyDescent="0.35">
      <c r="B95" s="2">
        <v>854870</v>
      </c>
      <c r="E95" s="2">
        <v>756978</v>
      </c>
    </row>
    <row r="96" spans="2:5" x14ac:dyDescent="0.35">
      <c r="B96" s="2">
        <v>662176</v>
      </c>
      <c r="E96" s="2">
        <v>764926</v>
      </c>
    </row>
    <row r="97" spans="2:5" x14ac:dyDescent="0.35">
      <c r="B97" s="2">
        <v>700047</v>
      </c>
      <c r="E97" s="2">
        <v>791930</v>
      </c>
    </row>
    <row r="98" spans="2:5" x14ac:dyDescent="0.35">
      <c r="B98" s="2">
        <v>561177</v>
      </c>
      <c r="E98" s="2">
        <v>792468</v>
      </c>
    </row>
    <row r="99" spans="2:5" x14ac:dyDescent="0.35">
      <c r="B99" s="2">
        <v>540002</v>
      </c>
      <c r="E99" s="2">
        <v>792887</v>
      </c>
    </row>
    <row r="100" spans="2:5" x14ac:dyDescent="0.35">
      <c r="B100" s="2">
        <v>672428</v>
      </c>
      <c r="E100" s="2">
        <v>795841</v>
      </c>
    </row>
    <row r="101" spans="2:5" x14ac:dyDescent="0.35">
      <c r="B101" s="2">
        <v>332648</v>
      </c>
      <c r="E101" s="2">
        <v>814181</v>
      </c>
    </row>
    <row r="102" spans="2:5" x14ac:dyDescent="0.35">
      <c r="B102" s="2">
        <v>608068</v>
      </c>
      <c r="E102" s="2">
        <v>822047</v>
      </c>
    </row>
    <row r="103" spans="2:5" x14ac:dyDescent="0.35">
      <c r="B103" s="2">
        <v>742349</v>
      </c>
      <c r="E103" s="2">
        <v>831600</v>
      </c>
    </row>
    <row r="104" spans="2:5" x14ac:dyDescent="0.35">
      <c r="B104" s="2">
        <v>532224</v>
      </c>
      <c r="E104" s="2">
        <v>833719</v>
      </c>
    </row>
    <row r="105" spans="2:5" x14ac:dyDescent="0.35">
      <c r="B105" s="2">
        <v>495351</v>
      </c>
      <c r="E105" s="2">
        <v>835304</v>
      </c>
    </row>
    <row r="106" spans="2:5" x14ac:dyDescent="0.35">
      <c r="B106" s="2">
        <v>497365</v>
      </c>
      <c r="E106" s="2">
        <v>851382</v>
      </c>
    </row>
    <row r="107" spans="2:5" x14ac:dyDescent="0.35">
      <c r="B107" s="2">
        <v>460176</v>
      </c>
      <c r="E107" s="2">
        <v>854870</v>
      </c>
    </row>
    <row r="108" spans="2:5" x14ac:dyDescent="0.35">
      <c r="B108" s="2">
        <v>756978</v>
      </c>
      <c r="E108" s="2">
        <v>856408</v>
      </c>
    </row>
    <row r="109" spans="2:5" x14ac:dyDescent="0.35">
      <c r="B109" s="2">
        <v>753426</v>
      </c>
      <c r="E109" s="2">
        <v>862386</v>
      </c>
    </row>
    <row r="110" spans="2:5" x14ac:dyDescent="0.35">
      <c r="B110" s="2">
        <v>792887</v>
      </c>
      <c r="E110" s="2">
        <v>872006</v>
      </c>
    </row>
    <row r="111" spans="2:5" x14ac:dyDescent="0.35">
      <c r="B111" s="2">
        <v>791930</v>
      </c>
      <c r="E111" s="2">
        <v>874864</v>
      </c>
    </row>
    <row r="112" spans="2:5" x14ac:dyDescent="0.35">
      <c r="B112" s="2">
        <v>702734</v>
      </c>
      <c r="E112" s="2">
        <v>877506</v>
      </c>
    </row>
    <row r="113" spans="2:5" x14ac:dyDescent="0.35">
      <c r="B113" s="2">
        <v>326985</v>
      </c>
      <c r="E113" s="2">
        <v>893656</v>
      </c>
    </row>
    <row r="114" spans="2:5" x14ac:dyDescent="0.35">
      <c r="B114" s="2">
        <v>541185</v>
      </c>
      <c r="E114" s="2">
        <v>895310</v>
      </c>
    </row>
    <row r="115" spans="2:5" x14ac:dyDescent="0.35">
      <c r="B115" s="2">
        <v>938608</v>
      </c>
      <c r="E115" s="2">
        <v>896730</v>
      </c>
    </row>
    <row r="116" spans="2:5" x14ac:dyDescent="0.35">
      <c r="B116" s="7">
        <v>339252</v>
      </c>
      <c r="E116" s="2">
        <v>898588</v>
      </c>
    </row>
    <row r="117" spans="2:5" x14ac:dyDescent="0.35">
      <c r="E117" s="2">
        <v>903622</v>
      </c>
    </row>
    <row r="118" spans="2:5" x14ac:dyDescent="0.35">
      <c r="E118" s="2">
        <v>910644</v>
      </c>
    </row>
    <row r="119" spans="2:5" x14ac:dyDescent="0.35">
      <c r="E119" s="2">
        <v>918018</v>
      </c>
    </row>
    <row r="120" spans="2:5" x14ac:dyDescent="0.35">
      <c r="E120" s="2">
        <v>918565</v>
      </c>
    </row>
    <row r="121" spans="2:5" x14ac:dyDescent="0.35">
      <c r="E121" s="2">
        <v>918730</v>
      </c>
    </row>
    <row r="122" spans="2:5" x14ac:dyDescent="0.35">
      <c r="E122" s="2">
        <v>938608</v>
      </c>
    </row>
    <row r="123" spans="2:5" x14ac:dyDescent="0.35">
      <c r="E123" s="2">
        <v>946799</v>
      </c>
    </row>
    <row r="124" spans="2:5" x14ac:dyDescent="0.35">
      <c r="E124" s="2">
        <v>953236</v>
      </c>
    </row>
    <row r="125" spans="2:5" x14ac:dyDescent="0.35">
      <c r="E125" s="2">
        <v>953236</v>
      </c>
    </row>
    <row r="126" spans="2:5" x14ac:dyDescent="0.35">
      <c r="E126" s="2">
        <v>953236</v>
      </c>
    </row>
    <row r="127" spans="2:5" x14ac:dyDescent="0.35">
      <c r="E127" s="2">
        <v>956490</v>
      </c>
    </row>
    <row r="128" spans="2:5" x14ac:dyDescent="0.35">
      <c r="E128" s="2">
        <v>963909</v>
      </c>
    </row>
    <row r="129" spans="5:5" x14ac:dyDescent="0.35">
      <c r="E129" s="2">
        <v>965103</v>
      </c>
    </row>
    <row r="130" spans="5:5" x14ac:dyDescent="0.35">
      <c r="E130" s="2">
        <v>967336</v>
      </c>
    </row>
    <row r="131" spans="5:5" x14ac:dyDescent="0.35">
      <c r="E131" s="2">
        <v>974133</v>
      </c>
    </row>
    <row r="132" spans="5:5" x14ac:dyDescent="0.35">
      <c r="E132" s="2">
        <v>981207</v>
      </c>
    </row>
    <row r="133" spans="5:5" x14ac:dyDescent="0.35">
      <c r="E133" s="2">
        <v>985538</v>
      </c>
    </row>
    <row r="134" spans="5:5" x14ac:dyDescent="0.35">
      <c r="E134" s="2">
        <v>992690</v>
      </c>
    </row>
    <row r="135" spans="5:5" x14ac:dyDescent="0.35">
      <c r="E135" s="7">
        <v>998372</v>
      </c>
    </row>
  </sheetData>
  <sortState xmlns:xlrd2="http://schemas.microsoft.com/office/spreadsheetml/2017/richdata2" ref="E22:E135">
    <sortCondition ref="E22:E13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1880-A233-48EA-AA34-C601BF74744F}">
  <dimension ref="B2:G116"/>
  <sheetViews>
    <sheetView tabSelected="1" zoomScale="164" zoomScaleNormal="164" workbookViewId="0">
      <selection activeCell="E4" sqref="E4"/>
    </sheetView>
  </sheetViews>
  <sheetFormatPr baseColWidth="10" defaultColWidth="14.36328125" defaultRowHeight="14.5" x14ac:dyDescent="0.35"/>
  <cols>
    <col min="2" max="2" width="17.1796875" bestFit="1" customWidth="1"/>
    <col min="4" max="4" width="11.453125" bestFit="1" customWidth="1"/>
    <col min="5" max="5" width="29.6328125" bestFit="1" customWidth="1"/>
    <col min="6" max="6" width="12" bestFit="1" customWidth="1"/>
  </cols>
  <sheetData>
    <row r="2" spans="2:7" x14ac:dyDescent="0.35">
      <c r="B2" s="1" t="s">
        <v>0</v>
      </c>
    </row>
    <row r="3" spans="2:7" x14ac:dyDescent="0.35">
      <c r="B3" s="2">
        <v>953236</v>
      </c>
      <c r="D3" s="3" t="s">
        <v>1</v>
      </c>
      <c r="E3" s="1" t="s">
        <v>2</v>
      </c>
      <c r="F3" s="1" t="s">
        <v>3</v>
      </c>
    </row>
    <row r="4" spans="2:7" x14ac:dyDescent="0.35">
      <c r="B4" s="2">
        <v>953236</v>
      </c>
      <c r="D4" s="4" t="s">
        <v>4</v>
      </c>
      <c r="E4" s="5" t="s">
        <v>5</v>
      </c>
      <c r="F4" s="5">
        <f>MIN(B3:B116)</f>
        <v>306405</v>
      </c>
    </row>
    <row r="5" spans="2:7" x14ac:dyDescent="0.35">
      <c r="B5" s="2">
        <v>733598</v>
      </c>
      <c r="D5" t="s">
        <v>6</v>
      </c>
      <c r="E5" s="2" t="s">
        <v>7</v>
      </c>
      <c r="F5" s="2">
        <f>MAX(B3:B116)</f>
        <v>998372</v>
      </c>
    </row>
    <row r="6" spans="2:7" x14ac:dyDescent="0.35">
      <c r="B6" s="2">
        <v>956490</v>
      </c>
      <c r="D6" t="s">
        <v>8</v>
      </c>
      <c r="E6" s="2" t="s">
        <v>9</v>
      </c>
      <c r="F6" s="2">
        <f>_xlfn.MODE.SNGL(B3:B116)</f>
        <v>953236</v>
      </c>
      <c r="G6" cm="1">
        <f t="array" ref="G6">_xlfn.MODE.MULT(B3:B116)</f>
        <v>953236</v>
      </c>
    </row>
    <row r="7" spans="2:7" x14ac:dyDescent="0.35">
      <c r="B7" s="2">
        <v>714616</v>
      </c>
      <c r="D7" t="s">
        <v>10</v>
      </c>
      <c r="E7" s="2" t="s">
        <v>11</v>
      </c>
      <c r="F7" s="2">
        <f>MEDIAN(B3:B116)</f>
        <v>674597</v>
      </c>
    </row>
    <row r="8" spans="2:7" x14ac:dyDescent="0.35">
      <c r="B8" s="2">
        <v>306405</v>
      </c>
      <c r="D8" t="s">
        <v>12</v>
      </c>
      <c r="E8" s="2" t="s">
        <v>13</v>
      </c>
      <c r="F8" s="2">
        <f>AVERAGE(B3:B116)</f>
        <v>659322.02631578944</v>
      </c>
    </row>
    <row r="9" spans="2:7" x14ac:dyDescent="0.35">
      <c r="B9" s="2">
        <v>918018</v>
      </c>
      <c r="D9" t="s">
        <v>14</v>
      </c>
      <c r="E9" s="2" t="s">
        <v>15</v>
      </c>
      <c r="F9" s="2">
        <f>_xlfn.PERCENTILE.EXC(B3:B116,0.25)</f>
        <v>459301.75</v>
      </c>
    </row>
    <row r="10" spans="2:7" x14ac:dyDescent="0.35">
      <c r="B10" s="2">
        <v>953236</v>
      </c>
      <c r="D10" t="s">
        <v>16</v>
      </c>
      <c r="E10" s="2" t="s">
        <v>17</v>
      </c>
      <c r="F10" s="2">
        <f>_xlfn.PERCENTILE.EXC(B3:B116,0.75)</f>
        <v>855254.5</v>
      </c>
    </row>
    <row r="11" spans="2:7" x14ac:dyDescent="0.35">
      <c r="B11" s="2">
        <v>554124</v>
      </c>
      <c r="D11" s="6" t="s">
        <v>18</v>
      </c>
      <c r="E11" s="7" t="s">
        <v>17</v>
      </c>
      <c r="F11" s="7">
        <f>_xlfn.PERCENTILE.EXC(B3:B116,0.9)</f>
        <v>953236</v>
      </c>
    </row>
    <row r="12" spans="2:7" x14ac:dyDescent="0.35">
      <c r="B12" s="2">
        <v>665602</v>
      </c>
    </row>
    <row r="13" spans="2:7" x14ac:dyDescent="0.35">
      <c r="B13" s="2">
        <v>676766</v>
      </c>
    </row>
    <row r="14" spans="2:7" x14ac:dyDescent="0.35">
      <c r="B14" s="2">
        <v>877506</v>
      </c>
    </row>
    <row r="15" spans="2:7" x14ac:dyDescent="0.35">
      <c r="B15" s="2">
        <v>481414</v>
      </c>
    </row>
    <row r="16" spans="2:7" x14ac:dyDescent="0.35">
      <c r="B16" s="2">
        <v>443941</v>
      </c>
    </row>
    <row r="17" spans="2:2" x14ac:dyDescent="0.35">
      <c r="B17" s="2">
        <v>520411</v>
      </c>
    </row>
    <row r="18" spans="2:2" x14ac:dyDescent="0.35">
      <c r="B18" s="2">
        <v>992690</v>
      </c>
    </row>
    <row r="19" spans="2:2" x14ac:dyDescent="0.35">
      <c r="B19" s="2">
        <v>743325</v>
      </c>
    </row>
    <row r="20" spans="2:2" x14ac:dyDescent="0.35">
      <c r="B20" s="2">
        <v>321284</v>
      </c>
    </row>
    <row r="21" spans="2:2" x14ac:dyDescent="0.35">
      <c r="B21" s="2">
        <v>347760</v>
      </c>
    </row>
    <row r="22" spans="2:2" x14ac:dyDescent="0.35">
      <c r="B22" s="2">
        <v>625696</v>
      </c>
    </row>
    <row r="23" spans="2:2" x14ac:dyDescent="0.35">
      <c r="B23" s="2">
        <v>593223</v>
      </c>
    </row>
    <row r="24" spans="2:2" x14ac:dyDescent="0.35">
      <c r="B24" s="2">
        <v>998372</v>
      </c>
    </row>
    <row r="25" spans="2:2" x14ac:dyDescent="0.35">
      <c r="B25" s="2">
        <v>896730</v>
      </c>
    </row>
    <row r="26" spans="2:2" x14ac:dyDescent="0.35">
      <c r="B26" s="2">
        <v>450578</v>
      </c>
    </row>
    <row r="27" spans="2:2" x14ac:dyDescent="0.35">
      <c r="B27" s="2">
        <v>398368</v>
      </c>
    </row>
    <row r="28" spans="2:2" x14ac:dyDescent="0.35">
      <c r="B28" s="2">
        <v>678784</v>
      </c>
    </row>
    <row r="29" spans="2:2" x14ac:dyDescent="0.35">
      <c r="B29" s="2">
        <v>421688</v>
      </c>
    </row>
    <row r="30" spans="2:2" x14ac:dyDescent="0.35">
      <c r="B30" s="2">
        <v>496392</v>
      </c>
    </row>
    <row r="31" spans="2:2" x14ac:dyDescent="0.35">
      <c r="B31" s="2">
        <v>593195</v>
      </c>
    </row>
    <row r="32" spans="2:2" x14ac:dyDescent="0.35">
      <c r="B32" s="2">
        <v>312332</v>
      </c>
    </row>
    <row r="33" spans="2:2" x14ac:dyDescent="0.35">
      <c r="B33" s="2">
        <v>831600</v>
      </c>
    </row>
    <row r="34" spans="2:2" x14ac:dyDescent="0.35">
      <c r="B34" s="2">
        <v>372120</v>
      </c>
    </row>
    <row r="35" spans="2:2" x14ac:dyDescent="0.35">
      <c r="B35" s="2">
        <v>918730</v>
      </c>
    </row>
    <row r="36" spans="2:2" x14ac:dyDescent="0.35">
      <c r="B36" s="2">
        <v>618349</v>
      </c>
    </row>
    <row r="37" spans="2:2" x14ac:dyDescent="0.35">
      <c r="B37" s="2">
        <v>981207</v>
      </c>
    </row>
    <row r="38" spans="2:2" x14ac:dyDescent="0.35">
      <c r="B38" s="2">
        <v>974133</v>
      </c>
    </row>
    <row r="39" spans="2:2" x14ac:dyDescent="0.35">
      <c r="B39" s="2">
        <v>737731</v>
      </c>
    </row>
    <row r="40" spans="2:2" x14ac:dyDescent="0.35">
      <c r="B40" s="2">
        <v>739963</v>
      </c>
    </row>
    <row r="41" spans="2:2" x14ac:dyDescent="0.35">
      <c r="B41" s="2">
        <v>851382</v>
      </c>
    </row>
    <row r="42" spans="2:2" x14ac:dyDescent="0.35">
      <c r="B42" s="2">
        <v>856408</v>
      </c>
    </row>
    <row r="43" spans="2:2" x14ac:dyDescent="0.35">
      <c r="B43" s="2">
        <v>426550</v>
      </c>
    </row>
    <row r="44" spans="2:2" x14ac:dyDescent="0.35">
      <c r="B44" s="2">
        <v>835304</v>
      </c>
    </row>
    <row r="45" spans="2:2" x14ac:dyDescent="0.35">
      <c r="B45" s="2">
        <v>555779</v>
      </c>
    </row>
    <row r="46" spans="2:2" x14ac:dyDescent="0.35">
      <c r="B46" s="2">
        <v>644103</v>
      </c>
    </row>
    <row r="47" spans="2:2" x14ac:dyDescent="0.35">
      <c r="B47" s="2">
        <v>874864</v>
      </c>
    </row>
    <row r="48" spans="2:2" x14ac:dyDescent="0.35">
      <c r="B48" s="2">
        <v>965103</v>
      </c>
    </row>
    <row r="49" spans="2:2" x14ac:dyDescent="0.35">
      <c r="B49" s="2">
        <v>963909</v>
      </c>
    </row>
    <row r="50" spans="2:2" x14ac:dyDescent="0.35">
      <c r="B50" s="2">
        <v>862386</v>
      </c>
    </row>
    <row r="51" spans="2:2" x14ac:dyDescent="0.35">
      <c r="B51" s="2">
        <v>872006</v>
      </c>
    </row>
    <row r="52" spans="2:2" x14ac:dyDescent="0.35">
      <c r="B52" s="2">
        <v>736053</v>
      </c>
    </row>
    <row r="53" spans="2:2" x14ac:dyDescent="0.35">
      <c r="B53" s="2">
        <v>420789</v>
      </c>
    </row>
    <row r="54" spans="2:2" x14ac:dyDescent="0.35">
      <c r="B54" s="2">
        <v>814181</v>
      </c>
    </row>
    <row r="55" spans="2:2" x14ac:dyDescent="0.35">
      <c r="B55" s="2">
        <v>451821</v>
      </c>
    </row>
    <row r="56" spans="2:2" x14ac:dyDescent="0.35">
      <c r="B56" s="2">
        <v>630575</v>
      </c>
    </row>
    <row r="57" spans="2:2" x14ac:dyDescent="0.35">
      <c r="B57" s="2">
        <v>579264</v>
      </c>
    </row>
    <row r="58" spans="2:2" x14ac:dyDescent="0.35">
      <c r="B58" s="2">
        <v>591462</v>
      </c>
    </row>
    <row r="59" spans="2:2" x14ac:dyDescent="0.35">
      <c r="B59" s="2">
        <v>505200</v>
      </c>
    </row>
    <row r="60" spans="2:2" x14ac:dyDescent="0.35">
      <c r="B60" s="2">
        <v>795841</v>
      </c>
    </row>
    <row r="61" spans="2:2" x14ac:dyDescent="0.35">
      <c r="B61" s="2">
        <v>895310</v>
      </c>
    </row>
    <row r="62" spans="2:2" x14ac:dyDescent="0.35">
      <c r="B62" s="2">
        <v>903622</v>
      </c>
    </row>
    <row r="63" spans="2:2" x14ac:dyDescent="0.35">
      <c r="B63" s="2">
        <v>918565</v>
      </c>
    </row>
    <row r="64" spans="2:2" x14ac:dyDescent="0.35">
      <c r="B64" s="2">
        <v>421174</v>
      </c>
    </row>
    <row r="65" spans="2:2" x14ac:dyDescent="0.35">
      <c r="B65" s="2">
        <v>676964</v>
      </c>
    </row>
    <row r="66" spans="2:2" x14ac:dyDescent="0.35">
      <c r="B66" s="2">
        <v>679986</v>
      </c>
    </row>
    <row r="67" spans="2:2" x14ac:dyDescent="0.35">
      <c r="B67" s="2">
        <v>792468</v>
      </c>
    </row>
    <row r="68" spans="2:2" x14ac:dyDescent="0.35">
      <c r="B68" s="2">
        <v>453217</v>
      </c>
    </row>
    <row r="69" spans="2:2" x14ac:dyDescent="0.35">
      <c r="B69" s="2">
        <v>729770</v>
      </c>
    </row>
    <row r="70" spans="2:2" x14ac:dyDescent="0.35">
      <c r="B70" s="2">
        <v>822047</v>
      </c>
    </row>
    <row r="71" spans="2:2" x14ac:dyDescent="0.35">
      <c r="B71" s="2">
        <v>343653</v>
      </c>
    </row>
    <row r="72" spans="2:2" x14ac:dyDescent="0.35">
      <c r="B72" s="2">
        <v>364498</v>
      </c>
    </row>
    <row r="73" spans="2:2" x14ac:dyDescent="0.35">
      <c r="B73" s="2">
        <v>893656</v>
      </c>
    </row>
    <row r="74" spans="2:2" x14ac:dyDescent="0.35">
      <c r="B74" s="2">
        <v>319684</v>
      </c>
    </row>
    <row r="75" spans="2:2" x14ac:dyDescent="0.35">
      <c r="B75" s="2">
        <v>408494</v>
      </c>
    </row>
    <row r="76" spans="2:2" x14ac:dyDescent="0.35">
      <c r="B76" s="2">
        <v>468754</v>
      </c>
    </row>
    <row r="77" spans="2:2" x14ac:dyDescent="0.35">
      <c r="B77" s="2">
        <v>381536</v>
      </c>
    </row>
    <row r="78" spans="2:2" x14ac:dyDescent="0.35">
      <c r="B78" s="2">
        <v>459478</v>
      </c>
    </row>
    <row r="79" spans="2:2" x14ac:dyDescent="0.35">
      <c r="B79" s="2">
        <v>764926</v>
      </c>
    </row>
    <row r="80" spans="2:2" x14ac:dyDescent="0.35">
      <c r="B80" s="2">
        <v>745680</v>
      </c>
    </row>
    <row r="81" spans="2:2" x14ac:dyDescent="0.35">
      <c r="B81" s="2">
        <v>898588</v>
      </c>
    </row>
    <row r="82" spans="2:2" x14ac:dyDescent="0.35">
      <c r="B82" s="2">
        <v>946799</v>
      </c>
    </row>
    <row r="83" spans="2:2" x14ac:dyDescent="0.35">
      <c r="B83" s="2">
        <v>458773</v>
      </c>
    </row>
    <row r="84" spans="2:2" x14ac:dyDescent="0.35">
      <c r="B84" s="2">
        <v>447406</v>
      </c>
    </row>
    <row r="85" spans="2:2" x14ac:dyDescent="0.35">
      <c r="B85" s="2">
        <v>459782</v>
      </c>
    </row>
    <row r="86" spans="2:2" x14ac:dyDescent="0.35">
      <c r="B86" s="2">
        <v>985538</v>
      </c>
    </row>
    <row r="87" spans="2:2" x14ac:dyDescent="0.35">
      <c r="B87" s="2">
        <v>833719</v>
      </c>
    </row>
    <row r="88" spans="2:2" x14ac:dyDescent="0.35">
      <c r="B88" s="2">
        <v>361904</v>
      </c>
    </row>
    <row r="89" spans="2:2" x14ac:dyDescent="0.35">
      <c r="B89" s="2">
        <v>910644</v>
      </c>
    </row>
    <row r="90" spans="2:2" x14ac:dyDescent="0.35">
      <c r="B90" s="2">
        <v>967336</v>
      </c>
    </row>
    <row r="91" spans="2:2" x14ac:dyDescent="0.35">
      <c r="B91" s="2">
        <v>420029</v>
      </c>
    </row>
    <row r="92" spans="2:2" x14ac:dyDescent="0.35">
      <c r="B92" s="2">
        <v>390398</v>
      </c>
    </row>
    <row r="93" spans="2:2" x14ac:dyDescent="0.35">
      <c r="B93" s="2">
        <v>637999</v>
      </c>
    </row>
    <row r="94" spans="2:2" x14ac:dyDescent="0.35">
      <c r="B94" s="2">
        <v>411619</v>
      </c>
    </row>
    <row r="95" spans="2:2" x14ac:dyDescent="0.35">
      <c r="B95" s="2">
        <v>854870</v>
      </c>
    </row>
    <row r="96" spans="2:2" x14ac:dyDescent="0.35">
      <c r="B96" s="2">
        <v>662176</v>
      </c>
    </row>
    <row r="97" spans="2:2" x14ac:dyDescent="0.35">
      <c r="B97" s="2">
        <v>700047</v>
      </c>
    </row>
    <row r="98" spans="2:2" x14ac:dyDescent="0.35">
      <c r="B98" s="2">
        <v>561177</v>
      </c>
    </row>
    <row r="99" spans="2:2" x14ac:dyDescent="0.35">
      <c r="B99" s="2">
        <v>540002</v>
      </c>
    </row>
    <row r="100" spans="2:2" x14ac:dyDescent="0.35">
      <c r="B100" s="2">
        <v>672428</v>
      </c>
    </row>
    <row r="101" spans="2:2" x14ac:dyDescent="0.35">
      <c r="B101" s="2">
        <v>332648</v>
      </c>
    </row>
    <row r="102" spans="2:2" x14ac:dyDescent="0.35">
      <c r="B102" s="2">
        <v>608068</v>
      </c>
    </row>
    <row r="103" spans="2:2" x14ac:dyDescent="0.35">
      <c r="B103" s="2">
        <v>742349</v>
      </c>
    </row>
    <row r="104" spans="2:2" x14ac:dyDescent="0.35">
      <c r="B104" s="2">
        <v>532224</v>
      </c>
    </row>
    <row r="105" spans="2:2" x14ac:dyDescent="0.35">
      <c r="B105" s="2">
        <v>495351</v>
      </c>
    </row>
    <row r="106" spans="2:2" x14ac:dyDescent="0.35">
      <c r="B106" s="2">
        <v>497365</v>
      </c>
    </row>
    <row r="107" spans="2:2" x14ac:dyDescent="0.35">
      <c r="B107" s="2">
        <v>460176</v>
      </c>
    </row>
    <row r="108" spans="2:2" x14ac:dyDescent="0.35">
      <c r="B108" s="2">
        <v>756978</v>
      </c>
    </row>
    <row r="109" spans="2:2" x14ac:dyDescent="0.35">
      <c r="B109" s="2">
        <v>753426</v>
      </c>
    </row>
    <row r="110" spans="2:2" x14ac:dyDescent="0.35">
      <c r="B110" s="2">
        <v>792887</v>
      </c>
    </row>
    <row r="111" spans="2:2" x14ac:dyDescent="0.35">
      <c r="B111" s="2">
        <v>791930</v>
      </c>
    </row>
    <row r="112" spans="2:2" x14ac:dyDescent="0.35">
      <c r="B112" s="2">
        <v>702734</v>
      </c>
    </row>
    <row r="113" spans="2:2" x14ac:dyDescent="0.35">
      <c r="B113" s="2">
        <v>326985</v>
      </c>
    </row>
    <row r="114" spans="2:2" x14ac:dyDescent="0.35">
      <c r="B114" s="2">
        <v>541185</v>
      </c>
    </row>
    <row r="115" spans="2:2" x14ac:dyDescent="0.35">
      <c r="B115" s="2">
        <v>938608</v>
      </c>
    </row>
    <row r="116" spans="2:2" x14ac:dyDescent="0.35">
      <c r="B116" s="7">
        <v>339252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 de posición en Excel</vt:lpstr>
      <vt:lpstr>Corrección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Javier Centeno Mora</cp:lastModifiedBy>
  <dcterms:created xsi:type="dcterms:W3CDTF">2015-06-05T18:19:34Z</dcterms:created>
  <dcterms:modified xsi:type="dcterms:W3CDTF">2025-05-31T20:39:14Z</dcterms:modified>
</cp:coreProperties>
</file>